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00" yWindow="75" windowWidth="8115" windowHeight="3465" activeTab="4"/>
  </bookViews>
  <sheets>
    <sheet name="Crear" sheetId="2" r:id="rId1"/>
    <sheet name="Hoja1" sheetId="1" r:id="rId2"/>
    <sheet name="Hoja4" sheetId="4" r:id="rId3"/>
    <sheet name="Hoja3" sheetId="3" r:id="rId4"/>
    <sheet name="Hoja2" sheetId="5" r:id="rId5"/>
  </sheets>
  <calcPr calcId="144525"/>
</workbook>
</file>

<file path=xl/calcChain.xml><?xml version="1.0" encoding="utf-8"?>
<calcChain xmlns="http://schemas.openxmlformats.org/spreadsheetml/2006/main">
  <c r="F62" i="2" l="1"/>
  <c r="F61" i="2"/>
  <c r="F60" i="2"/>
  <c r="F59" i="2" l="1"/>
  <c r="F58" i="2"/>
  <c r="F57" i="2" l="1"/>
  <c r="F56" i="2" l="1"/>
  <c r="F55" i="2"/>
  <c r="F54" i="2" l="1"/>
  <c r="F42" i="2" l="1"/>
  <c r="F43" i="2"/>
  <c r="F44" i="2"/>
  <c r="F45" i="2"/>
  <c r="F46" i="2"/>
  <c r="F47" i="2"/>
  <c r="F48" i="2"/>
  <c r="F49" i="2"/>
  <c r="F50" i="2"/>
  <c r="F51" i="2"/>
  <c r="F52" i="2"/>
  <c r="F53" i="2"/>
  <c r="B37" i="2" l="1"/>
  <c r="B38" i="2" s="1"/>
  <c r="B39" i="2" s="1"/>
  <c r="A37" i="2"/>
  <c r="A38" i="2" s="1"/>
  <c r="A39" i="2" s="1"/>
  <c r="F37" i="2" l="1"/>
  <c r="F38" i="2"/>
  <c r="F39" i="2"/>
  <c r="F36" i="2"/>
</calcChain>
</file>

<file path=xl/comments1.xml><?xml version="1.0" encoding="utf-8"?>
<comments xmlns="http://schemas.openxmlformats.org/spreadsheetml/2006/main">
  <authors>
    <author>Luffi</author>
  </authors>
  <commentList>
    <comment ref="B40" authorId="0">
      <text>
        <r>
          <rPr>
            <b/>
            <sz val="9"/>
            <color indexed="81"/>
            <rFont val="Tahoma"/>
            <charset val="1"/>
          </rPr>
          <t>Usuario que es creado, modificado o borrado.</t>
        </r>
      </text>
    </comment>
    <comment ref="B41" authorId="0">
      <text>
        <r>
          <rPr>
            <b/>
            <sz val="9"/>
            <color indexed="81"/>
            <rFont val="Tahoma"/>
            <charset val="1"/>
          </rPr>
          <t>Usuario que crea modifica o borra otro usuario</t>
        </r>
      </text>
    </comment>
  </commentList>
</comments>
</file>

<file path=xl/comments2.xml><?xml version="1.0" encoding="utf-8"?>
<comments xmlns="http://schemas.openxmlformats.org/spreadsheetml/2006/main">
  <authors>
    <author>Luffi</author>
  </authors>
  <commentList>
    <comment ref="A9" authorId="0">
      <text>
        <r>
          <rPr>
            <b/>
            <sz val="9"/>
            <color indexed="81"/>
            <rFont val="Tahoma"/>
            <family val="2"/>
          </rPr>
          <t>10%</t>
        </r>
      </text>
    </comment>
    <comment ref="B9" authorId="0">
      <text>
        <r>
          <rPr>
            <b/>
            <sz val="9"/>
            <color indexed="81"/>
            <rFont val="Tahoma"/>
            <family val="2"/>
          </rPr>
          <t>15%</t>
        </r>
      </text>
    </comment>
    <comment ref="A31" authorId="0">
      <text>
        <r>
          <rPr>
            <b/>
            <sz val="9"/>
            <color indexed="81"/>
            <rFont val="Tahoma"/>
            <family val="2"/>
          </rPr>
          <t>10%</t>
        </r>
      </text>
    </comment>
    <comment ref="B31" authorId="0">
      <text>
        <r>
          <rPr>
            <b/>
            <sz val="9"/>
            <color indexed="81"/>
            <rFont val="Tahoma"/>
            <family val="2"/>
          </rPr>
          <t>15%</t>
        </r>
      </text>
    </comment>
  </commentList>
</comments>
</file>

<file path=xl/sharedStrings.xml><?xml version="1.0" encoding="utf-8"?>
<sst xmlns="http://schemas.openxmlformats.org/spreadsheetml/2006/main" count="602" uniqueCount="248">
  <si>
    <t>Usuarios</t>
  </si>
  <si>
    <t>Partidas</t>
  </si>
  <si>
    <t>Id</t>
  </si>
  <si>
    <t>Unidad</t>
  </si>
  <si>
    <t>Descripcion</t>
  </si>
  <si>
    <t>IdUsuario</t>
  </si>
  <si>
    <t>Activo</t>
  </si>
  <si>
    <t>IdPartida</t>
  </si>
  <si>
    <t>LogPartidas</t>
  </si>
  <si>
    <t>Clave</t>
  </si>
  <si>
    <t>Requisiciones</t>
  </si>
  <si>
    <t>Impresa</t>
  </si>
  <si>
    <t>IdCentroCostos</t>
  </si>
  <si>
    <t>LogRequisiciones</t>
  </si>
  <si>
    <t>IdRequisicion</t>
  </si>
  <si>
    <t>LogUsuarios</t>
  </si>
  <si>
    <t>Fecha</t>
  </si>
  <si>
    <t>Crear</t>
  </si>
  <si>
    <t>Editar</t>
  </si>
  <si>
    <t>Imprimir</t>
  </si>
  <si>
    <t>Borrar</t>
  </si>
  <si>
    <t>AdjuntosPartidas</t>
  </si>
  <si>
    <t>Ruta</t>
  </si>
  <si>
    <t>AdjuntosRequisiciones</t>
  </si>
  <si>
    <t>AdjuntosUsuarios</t>
  </si>
  <si>
    <t>Departamentos</t>
  </si>
  <si>
    <t>Numero</t>
  </si>
  <si>
    <t>Areas</t>
  </si>
  <si>
    <t>CentrosCostos</t>
  </si>
  <si>
    <t>IdUser</t>
  </si>
  <si>
    <t>Unidades</t>
  </si>
  <si>
    <t>departamento</t>
  </si>
  <si>
    <t>area</t>
  </si>
  <si>
    <t>INT AUTO_INCREMENT PRIMARY KEY</t>
  </si>
  <si>
    <t>Ver</t>
  </si>
  <si>
    <t>LogIn</t>
  </si>
  <si>
    <t>recoverypw</t>
  </si>
  <si>
    <t>recovery</t>
  </si>
  <si>
    <t>INSERT INTO usuarios VALUES (0,NULL,"root","root","mttocl@cualquierlavado.com.mx",SHA1("manttocl"),"",0,1,1);</t>
  </si>
  <si>
    <t>varchar(300)</t>
  </si>
  <si>
    <t>ComentariosPartidas</t>
  </si>
  <si>
    <t>ComentariosRequisiciones</t>
  </si>
  <si>
    <t>Comentario</t>
  </si>
  <si>
    <t>TEXT</t>
  </si>
  <si>
    <t>CREATE TABLE logusuarios (id INT AUTO_INCREMENT PRIMARY KEY, iduser INT, idusuario INT, fecha DATETIME, clave INT);</t>
  </si>
  <si>
    <t>CREATE TABLE logpartidas (id INT AUTO_INCREMENT PRIMARY KEY, idpartida INT, idusuario INT, fecha DATETIME, clave INT);</t>
  </si>
  <si>
    <t>CREATE TABLE logrequisiciones (id INT AUTO_INCREMENT PRIMARY KEY, idrequisicion INT, idusuario INT, fecha DATETIME, clave INT);</t>
  </si>
  <si>
    <t>DATETIME</t>
  </si>
  <si>
    <t>INT</t>
  </si>
  <si>
    <t>20171206 105847</t>
  </si>
  <si>
    <t>20171206 105950</t>
  </si>
  <si>
    <t>20171206 105957</t>
  </si>
  <si>
    <t>id</t>
  </si>
  <si>
    <t>activo</t>
  </si>
  <si>
    <t>fecha</t>
  </si>
  <si>
    <t>idusuario</t>
  </si>
  <si>
    <t>nombre</t>
  </si>
  <si>
    <t>longitud</t>
  </si>
  <si>
    <t>CREATE DATABASE requisiciones;</t>
  </si>
  <si>
    <t>USE requisiciones;</t>
  </si>
  <si>
    <t>OpcionesUsuarios</t>
  </si>
  <si>
    <t>clave</t>
  </si>
  <si>
    <t>valor</t>
  </si>
  <si>
    <t>seccion</t>
  </si>
  <si>
    <t>VARCHAR(100)</t>
  </si>
  <si>
    <t>VARCHAR(300)</t>
  </si>
  <si>
    <t>CREATE TABLE opcionesusuarios (id INT AUTO_INCREMENT PRIMARY KEY, idusuario INT, seccion VARCHAR(100), clave VARCHAR(100), valor VARCHAR(300));</t>
  </si>
  <si>
    <t>20171226 103235</t>
  </si>
  <si>
    <t>VARCHAR(500)</t>
  </si>
  <si>
    <t>ClaveLogPartidas</t>
  </si>
  <si>
    <t>TokensUsuarios</t>
  </si>
  <si>
    <t>token</t>
  </si>
  <si>
    <t>expira</t>
  </si>
  <si>
    <t>ClaveLogUsuarios</t>
  </si>
  <si>
    <t>AutoLogIn</t>
  </si>
  <si>
    <t>ClaveLogRequisiciones</t>
  </si>
  <si>
    <t>idreferencia</t>
  </si>
  <si>
    <t>VARCHAR(40)</t>
  </si>
  <si>
    <t>TINYINT(1)</t>
  </si>
  <si>
    <t>idtimer</t>
  </si>
  <si>
    <t>idpartida</t>
  </si>
  <si>
    <t>comentario</t>
  </si>
  <si>
    <t>clasetimer</t>
  </si>
  <si>
    <t>idrequisicion</t>
  </si>
  <si>
    <t>idcomentario</t>
  </si>
  <si>
    <t>idadjunto</t>
  </si>
  <si>
    <t>20180102 184035</t>
  </si>
  <si>
    <t>20180102 184108</t>
  </si>
  <si>
    <t>20180102 184114</t>
  </si>
  <si>
    <t>AlarmasRequisiciones</t>
  </si>
  <si>
    <t>AlarmasPartidas</t>
  </si>
  <si>
    <t>AlarmasComentariosRequisicion</t>
  </si>
  <si>
    <t>AlarmasAdjuntosRequisicion</t>
  </si>
  <si>
    <t>AlarmasComentariosPartida</t>
  </si>
  <si>
    <t>AlarmasAdjuntosPartida</t>
  </si>
  <si>
    <t>CREATE TABLE Alarmasrequisiciones (id INT AUTO_INCREMENT PRIMARY KEY, fecha DATETIME, idrequisicion INT, comentario TEXT, idusuario INT, activo TINYINT(1));</t>
  </si>
  <si>
    <t>CREATE TABLE Alarmaspartidas (id INT AUTO_INCREMENT PRIMARY KEY, fecha DATETIME, idpartida INT, comentario TEXT, idusuario INT, activo TINYINT(1));</t>
  </si>
  <si>
    <t>LogAlarmas</t>
  </si>
  <si>
    <t>CREATE TABLE logAlarmas (id INT AUTO_INCREMENT PRIMARY KEY, idtimer INT, clasetimer INT, fecha DATETIME, clave INT);</t>
  </si>
  <si>
    <t>VARCHAR(15)</t>
  </si>
  <si>
    <t>cliente</t>
  </si>
  <si>
    <t>ClaveLogAlarmas</t>
  </si>
  <si>
    <t>idpadre</t>
  </si>
  <si>
    <t>su</t>
  </si>
  <si>
    <t>usuario</t>
  </si>
  <si>
    <t>email</t>
  </si>
  <si>
    <t>numero</t>
  </si>
  <si>
    <t>password</t>
  </si>
  <si>
    <t>cantidad</t>
  </si>
  <si>
    <t>idunidad</t>
  </si>
  <si>
    <t>descripcion</t>
  </si>
  <si>
    <t>surtida</t>
  </si>
  <si>
    <t>impresa</t>
  </si>
  <si>
    <t>VARCHAR(80)</t>
  </si>
  <si>
    <t>VARCHAR(20)</t>
  </si>
  <si>
    <t>VARCHAR(50)</t>
  </si>
  <si>
    <t>TINYINT(1) UNSIGNED</t>
  </si>
  <si>
    <t>INT UNSIGNED</t>
  </si>
  <si>
    <t>INT UNSIGNED AUTO_INCREMENT PRIMARY KEY</t>
  </si>
  <si>
    <t>DECIMAL(12,3) UNSIGNED</t>
  </si>
  <si>
    <t>VARCHAR(10)</t>
  </si>
  <si>
    <t>idsolicitante</t>
  </si>
  <si>
    <t>importancia</t>
  </si>
  <si>
    <t>idsurtida</t>
  </si>
  <si>
    <t>iddepartmento</t>
  </si>
  <si>
    <t>idarea</t>
  </si>
  <si>
    <t>idimpresa</t>
  </si>
  <si>
    <t>CREATE TABLE usuarios (id INT UNSIGNED AUTO_INCREMENT PRIMARY KEY, numero INT UNSIGNED, nombre VARCHAR(80), usuario VARCHAR(20), email VARCHAR(50), password VARCHAR(40), recoverypw VARCHAR(40), recovery TINYINT(1) UNSIGNED, su TINYINT(1) UNSIGNED, activo TINYINT(1) UNSIGNED);</t>
  </si>
  <si>
    <t>CREATE TABLE unidades (id INT UNSIGNED AUTO_INCREMENT PRIMARY KEY, unidad VARCHAR(10), activo TINYINT(1) UNSIGNED);</t>
  </si>
  <si>
    <t>CREATE TABLE departamentos (id INT UNSIGNED AUTO_INCREMENT PRIMARY KEY, departamento VARCHAR(20), activo TINYINT(1) UNSIGNED);</t>
  </si>
  <si>
    <t>CREATE TABLE areas (id INT UNSIGNED AUTO_INCREMENT PRIMARY KEY, area VARCHAR(20), activo TINYINT(1) UNSIGNED);</t>
  </si>
  <si>
    <t>CREATE TABLE centroscostos (id INT UNSIGNED AUTO_INCREMENT PRIMARY KEY, numero INT UNSIGNED, descripcion VARCHAR(20), activo TINYINT(1) UNSIGNED);</t>
  </si>
  <si>
    <t>idcentrocostos</t>
  </si>
  <si>
    <t>requisicion</t>
  </si>
  <si>
    <t>CREATE TABLE adjuntosusuarios (id INT UNSIGNED AUTO_INCREMENT PRIMARY KEY, iduser INT UNSIGNED, ruta VARCHAR(300), idusuario INT UNSIGNED, fecha DATETIME, activo TINYINT(1) UNSIGNED);</t>
  </si>
  <si>
    <t>20180121 141146</t>
  </si>
  <si>
    <t xml:space="preserve">3) </t>
  </si>
  <si>
    <t xml:space="preserve">4) </t>
  </si>
  <si>
    <t xml:space="preserve">5) </t>
  </si>
  <si>
    <t xml:space="preserve">6) </t>
  </si>
  <si>
    <t xml:space="preserve">7) </t>
  </si>
  <si>
    <t xml:space="preserve">8) </t>
  </si>
  <si>
    <t xml:space="preserve">9) </t>
  </si>
  <si>
    <t xml:space="preserve">10) </t>
  </si>
  <si>
    <t xml:space="preserve">11) </t>
  </si>
  <si>
    <t xml:space="preserve">12) </t>
  </si>
  <si>
    <t xml:space="preserve">13) </t>
  </si>
  <si>
    <t xml:space="preserve">14) </t>
  </si>
  <si>
    <t>CREATE TABLE comentariospartidas (id INT UNSIGNED AUTO_INCREMENT PRIMARY KEY, idpartida INT UNSIGNED, idpadre INT UNSIGNED, comentario TEXT, idusuario INT UNSIGNED, fecha DATETIME, activo TINYINT(1) UNSIGNED);</t>
  </si>
  <si>
    <t>CREATE TABLE comentariosrequisiciones (id INT UNSIGNED AUTO_INCREMENT PRIMARY KEY, idrequisicion INT UNSIGNED, idpadre INT UNSIGNED, comentario TEXT, idusuario INT UNSIGNED, fecha DATETIME, activo TINYINT(1) UNSIGNED);</t>
  </si>
  <si>
    <t>CREATE TABLE adjuntospartidas (id INT UNSIGNED AUTO_INCREMENT PRIMARY KEY, idpartida INT UNSIGNED, nombre VARCHAR(300), longitud INT UNSIGNED, idusuario INT UNSIGNED, fecha DATETIME, activo TINYINT(1) UNSIGNED);</t>
  </si>
  <si>
    <t>CREATE TABLE adjuntosrequisiciones (id INT UNSIGNED AUTO_INCREMENT PRIMARY KEY, idrequisicion INT UNSIGNED, nombre VARCHAR(300), longitud INT UNSIGNED, idusuario INT UNSIGNED, fecha DATETIME, activo TINYINT(1) UNSIGNED);</t>
  </si>
  <si>
    <t>CREATE TABLE tokensusuarios (id INT UNSIGNED AUTO_INCREMENT PRIMARY KEY, idusuario INT UNSIGNED, cliente VARCHAR(15), token VARCHAR(40), expira DATETIME);</t>
  </si>
  <si>
    <t>20180121 142025</t>
  </si>
  <si>
    <t>fechasurtir</t>
  </si>
  <si>
    <t>CREATE TABLE partidas (id INT UNSIGNED AUTO_INCREMENT PRIMARY KEY, fecha DATETIME, cantidad DECIMAL(12,3) UNSIGNED, idunidad INT UNSIGNED, descripcion VARCHAR(500), activo TINYINT(1) UNSIGNED, surtida TINYINT(1) UNSIGNED, impresa TINYINT(1) UNSIGNED, fechasurtir DATETIME, idcentrocostos INT UNSIGNED, idrequisicion INT UNSIGNED, importancia TINYINT(1) UNSIGNED, idsolicitante INT UNSIGNED, idusuario INT UNSIGNED);</t>
  </si>
  <si>
    <t>20180124 155019</t>
  </si>
  <si>
    <t>INSERT INTO unidades VALUES (0,"Servicios",1);</t>
  </si>
  <si>
    <t>INSERT INTO unidades VALUES (0,"Piezas",1);</t>
  </si>
  <si>
    <t>INSERT INTO unidades VALUES (0,"Metros",1);</t>
  </si>
  <si>
    <t>INSERT INTO unidades VALUES (0,"Litros",1);</t>
  </si>
  <si>
    <t>INSERT INTO unidades VALUES (0,"Kgs",1);</t>
  </si>
  <si>
    <t>INSERT INTO unidades VALUES (0,"Bultos",1);</t>
  </si>
  <si>
    <t>INSERT INTO unidades VALUES (0,"Cubetas",1);</t>
  </si>
  <si>
    <t>INSERT INTO unidades VALUES (0,"Galones",1);</t>
  </si>
  <si>
    <t>INSERT INTO unidades VALUES (0,"Gramos",1);</t>
  </si>
  <si>
    <t>INSERT INTO unidades VALUES (0,"Juegos",1);</t>
  </si>
  <si>
    <t>INSERT INTO unidades VALUES (0,"Libras",1);</t>
  </si>
  <si>
    <t>INSERT INTO unidades VALUES (0,"Metros2",1);</t>
  </si>
  <si>
    <t>INSERT INTO unidades VALUES (0,"Pares",1);</t>
  </si>
  <si>
    <t>INSERT INTO unidades VALUES (0,"Pies3",1);</t>
  </si>
  <si>
    <t>INSERT INTO unidades VALUES (0,"Paquetes",1);</t>
  </si>
  <si>
    <t>INSERT INTO unidades VALUES (0,"Rollos",1);</t>
  </si>
  <si>
    <t>CREATE TABLE requisiciones (id INT UNSIGNED AUTO_INCREMENT PRIMARY KEY, fecha DATETIME, requisicion VARCHAR(10), activo TINYINT(1) UNSIGNED, surtida TINYINT(1) UNSIGNED, impresa TINYINT(1) UNSIGNED, fechasurtir DATETIME, idsurtida INT UNSIGNED, idimpresa INT UNSIGNED, iddepartmento INT UNSIGNED, idarea INT UNSIGNED, idcentrocostos INT UNSIGNED, importancia TINYINT(1) UNSIGNED, idsolicitante INT UNSIGNED, idusuario INT UNSIGNED);</t>
  </si>
  <si>
    <t>20180125 171700</t>
  </si>
  <si>
    <t>20180125 171718</t>
  </si>
  <si>
    <t>20180125 171727</t>
  </si>
  <si>
    <t>20180125 171737</t>
  </si>
  <si>
    <t>20180125 171746</t>
  </si>
  <si>
    <t>20180125 171756</t>
  </si>
  <si>
    <t>partidas</t>
  </si>
  <si>
    <t>requisiciones</t>
  </si>
  <si>
    <t>comentariospartidas</t>
  </si>
  <si>
    <t>comentariosrequisiciones</t>
  </si>
  <si>
    <t>20180125 204920</t>
  </si>
  <si>
    <t>20180125 204950</t>
  </si>
  <si>
    <t>20180125 205032</t>
  </si>
  <si>
    <t>20180125 205230</t>
  </si>
  <si>
    <t>Mario Elias</t>
  </si>
  <si>
    <t>Mauro Cruz</t>
  </si>
  <si>
    <t>Oswaldo Flores</t>
  </si>
  <si>
    <t>Genaro Hernandez</t>
  </si>
  <si>
    <t>Pedro Herrera</t>
  </si>
  <si>
    <t>Rafael Marquez</t>
  </si>
  <si>
    <t>Silvestre Flores</t>
  </si>
  <si>
    <t>Marcelo Ramos</t>
  </si>
  <si>
    <t>Enrique Jimenez</t>
  </si>
  <si>
    <t>Jose Lopez</t>
  </si>
  <si>
    <t>Ernesto Orozco</t>
  </si>
  <si>
    <t>Alejandro Santana</t>
  </si>
  <si>
    <t>Alfredo Cid</t>
  </si>
  <si>
    <t>Manuel Estrada</t>
  </si>
  <si>
    <t>Jose Montes</t>
  </si>
  <si>
    <t>Arturo Carrera</t>
  </si>
  <si>
    <t>req</t>
  </si>
  <si>
    <t>pedido</t>
  </si>
  <si>
    <t>estado</t>
  </si>
  <si>
    <t>imprime</t>
  </si>
  <si>
    <t>solicita</t>
  </si>
  <si>
    <t>autor</t>
  </si>
  <si>
    <t>Jaime Cortes</t>
  </si>
  <si>
    <t>Alejandro Luna</t>
  </si>
  <si>
    <t>cr</t>
  </si>
  <si>
    <t>modifica</t>
  </si>
  <si>
    <t>Gerardo Ginez</t>
  </si>
  <si>
    <t>Raul Morales</t>
  </si>
  <si>
    <t>Ramon Horta</t>
  </si>
  <si>
    <t>Surtida</t>
  </si>
  <si>
    <t>agregar</t>
  </si>
  <si>
    <t>comentarios</t>
  </si>
  <si>
    <t>adjuntos</t>
  </si>
  <si>
    <t>acciones</t>
  </si>
  <si>
    <t>adjunto</t>
  </si>
  <si>
    <t>tamaño</t>
  </si>
  <si>
    <t>unidad</t>
  </si>
  <si>
    <t>fecchacreacion</t>
  </si>
  <si>
    <t>fechaimpresion</t>
  </si>
  <si>
    <t>fechasurtida</t>
  </si>
  <si>
    <t>labelcr</t>
  </si>
  <si>
    <t>labelimportancia</t>
  </si>
  <si>
    <t>labelmodifica</t>
  </si>
  <si>
    <t>labelimprime</t>
  </si>
  <si>
    <t>labelsolicita</t>
  </si>
  <si>
    <t>labelautor</t>
  </si>
  <si>
    <t>labelsurtir</t>
  </si>
  <si>
    <t>nuevareq</t>
  </si>
  <si>
    <t>solicitante</t>
  </si>
  <si>
    <t>labelre</t>
  </si>
  <si>
    <t>labelarea</t>
  </si>
  <si>
    <t>labeldepto</t>
  </si>
  <si>
    <t>depto</t>
  </si>
  <si>
    <t>registro</t>
  </si>
  <si>
    <t>Numero empleado:</t>
  </si>
  <si>
    <t>Nombre:</t>
  </si>
  <si>
    <t>Usuario:</t>
  </si>
  <si>
    <t>Email:</t>
  </si>
  <si>
    <t>Password:</t>
  </si>
  <si>
    <t>Repetir password:</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</si>
</sst>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9"/>
      <color indexed="81"/>
      <name val="Tahoma"/>
      <charset val="1"/>
    </font>
    <font>
      <sz val="11"/>
      <color theme="0" tint="-0.249977111117893"/>
      <name val="Calibri"/>
      <family val="2"/>
      <scheme val="minor"/>
    </font>
    <font>
      <b/>
      <sz val="9"/>
      <color indexed="81"/>
      <name val="Tahoma"/>
      <family val="2"/>
    </font>
  </fonts>
  <fills count="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92D05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s>
  <cellStyleXfs count="1">
    <xf numFmtId="0" fontId="0" fillId="0" borderId="0"/>
  </cellStyleXfs>
  <cellXfs count="57">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0"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1" xfId="0" applyFill="1" applyBorder="1"/>
    <xf numFmtId="0" fontId="0" fillId="0" borderId="0" xfId="0" applyAlignment="1">
      <alignment wrapText="1"/>
    </xf>
    <xf numFmtId="0" fontId="0" fillId="0" borderId="1" xfId="0" applyBorder="1" applyAlignment="1">
      <alignment shrinkToFit="1"/>
    </xf>
    <xf numFmtId="0" fontId="0" fillId="0" borderId="1" xfId="0" applyFill="1" applyBorder="1" applyAlignment="1">
      <alignment shrinkToFit="1"/>
    </xf>
    <xf numFmtId="0" fontId="0" fillId="0" borderId="0" xfId="0" applyBorder="1" applyAlignment="1">
      <alignment shrinkToFit="1"/>
    </xf>
    <xf numFmtId="22" fontId="0" fillId="0" borderId="1" xfId="0" applyNumberFormat="1" applyBorder="1"/>
    <xf numFmtId="0" fontId="0" fillId="0" borderId="4" xfId="0" applyFill="1" applyBorder="1"/>
    <xf numFmtId="0" fontId="0" fillId="0" borderId="5" xfId="0" applyFill="1" applyBorder="1"/>
    <xf numFmtId="0" fontId="0" fillId="0" borderId="0" xfId="0" applyFill="1"/>
    <xf numFmtId="0" fontId="0" fillId="2" borderId="0" xfId="0" applyFill="1"/>
    <xf numFmtId="0" fontId="0" fillId="0" borderId="0" xfId="0" applyFill="1" applyBorder="1"/>
    <xf numFmtId="0" fontId="0" fillId="0" borderId="12" xfId="0" applyBorder="1"/>
    <xf numFmtId="0" fontId="0" fillId="0" borderId="14" xfId="0" applyBorder="1"/>
    <xf numFmtId="0" fontId="0" fillId="0" borderId="15" xfId="0" applyBorder="1"/>
    <xf numFmtId="0" fontId="0" fillId="0" borderId="18" xfId="0" applyBorder="1"/>
    <xf numFmtId="0" fontId="0" fillId="0" borderId="21" xfId="0" applyBorder="1"/>
    <xf numFmtId="0" fontId="0" fillId="0" borderId="23" xfId="0" applyBorder="1"/>
    <xf numFmtId="0" fontId="0" fillId="0" borderId="24" xfId="0" applyBorder="1"/>
    <xf numFmtId="0" fontId="2" fillId="0" borderId="21" xfId="0" applyFont="1" applyBorder="1"/>
    <xf numFmtId="0" fontId="0" fillId="0" borderId="19" xfId="0" applyBorder="1"/>
    <xf numFmtId="0" fontId="0" fillId="0" borderId="20" xfId="0" applyBorder="1"/>
    <xf numFmtId="0" fontId="0" fillId="0" borderId="22" xfId="0" applyBorder="1"/>
    <xf numFmtId="0" fontId="0" fillId="2" borderId="1" xfId="0" applyFill="1" applyBorder="1" applyAlignment="1">
      <alignment horizontal="center"/>
    </xf>
    <xf numFmtId="0" fontId="0" fillId="3" borderId="1" xfId="0" applyFill="1" applyBorder="1" applyAlignment="1">
      <alignment horizontal="center"/>
    </xf>
    <xf numFmtId="0" fontId="0" fillId="0" borderId="1" xfId="0" applyBorder="1" applyAlignment="1">
      <alignment horizontal="center"/>
    </xf>
    <xf numFmtId="0" fontId="0" fillId="2" borderId="7" xfId="0" applyFill="1" applyBorder="1" applyAlignment="1">
      <alignment horizontal="center"/>
    </xf>
    <xf numFmtId="0" fontId="0" fillId="2" borderId="8" xfId="0" applyFill="1" applyBorder="1" applyAlignment="1">
      <alignment horizontal="center"/>
    </xf>
    <xf numFmtId="0" fontId="0" fillId="2" borderId="9" xfId="0" applyFill="1" applyBorder="1" applyAlignment="1">
      <alignment horizontal="center"/>
    </xf>
    <xf numFmtId="0" fontId="0" fillId="4" borderId="1"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xf numFmtId="0" fontId="0" fillId="0" borderId="13" xfId="0"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17" xfId="0" applyBorder="1" applyAlignment="1">
      <alignment horizontal="left"/>
    </xf>
    <xf numFmtId="0" fontId="0" fillId="0" borderId="7" xfId="0" applyBorder="1" applyAlignment="1">
      <alignment horizontal="center"/>
    </xf>
    <xf numFmtId="0" fontId="0" fillId="0" borderId="9" xfId="0" applyBorder="1" applyAlignment="1">
      <alignment horizontal="center"/>
    </xf>
    <xf numFmtId="0" fontId="0" fillId="0" borderId="8" xfId="0" applyBorder="1" applyAlignment="1">
      <alignment horizontal="center"/>
    </xf>
    <xf numFmtId="0" fontId="0" fillId="0" borderId="25" xfId="0" applyBorder="1" applyAlignment="1">
      <alignment horizontal="center" vertical="center"/>
    </xf>
    <xf numFmtId="0" fontId="0" fillId="0" borderId="24" xfId="0" applyBorder="1" applyAlignment="1">
      <alignment horizontal="center" vertical="center"/>
    </xf>
    <xf numFmtId="0" fontId="0" fillId="0" borderId="19" xfId="0" applyBorder="1" applyAlignment="1">
      <alignment horizontal="left"/>
    </xf>
    <xf numFmtId="0" fontId="0" fillId="0" borderId="20" xfId="0" applyBorder="1" applyAlignment="1">
      <alignment horizontal="left"/>
    </xf>
    <xf numFmtId="0" fontId="0" fillId="0" borderId="22" xfId="0" applyBorder="1" applyAlignment="1">
      <alignment horizontal="left"/>
    </xf>
    <xf numFmtId="0" fontId="0" fillId="0" borderId="23" xfId="0" applyBorder="1" applyAlignment="1">
      <alignment horizontal="left"/>
    </xf>
    <xf numFmtId="0" fontId="0" fillId="0" borderId="10" xfId="0" applyBorder="1" applyAlignment="1">
      <alignment horizontal="left"/>
    </xf>
    <xf numFmtId="0" fontId="0" fillId="0" borderId="11" xfId="0" applyBorder="1" applyAlignment="1">
      <alignment horizontal="left"/>
    </xf>
    <xf numFmtId="0" fontId="0" fillId="0" borderId="21" xfId="0"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F62"/>
  <sheetViews>
    <sheetView topLeftCell="A28" workbookViewId="0">
      <selection activeCell="P36" sqref="P36:S52"/>
    </sheetView>
  </sheetViews>
  <sheetFormatPr baseColWidth="10" defaultRowHeight="15" x14ac:dyDescent="0.25"/>
  <cols>
    <col min="4" max="4" width="11.85546875" bestFit="1" customWidth="1"/>
    <col min="6" max="6" width="11.85546875" bestFit="1" customWidth="1"/>
  </cols>
  <sheetData>
    <row r="1" spans="1:1" x14ac:dyDescent="0.25">
      <c r="A1" t="s">
        <v>58</v>
      </c>
    </row>
    <row r="2" spans="1:1" x14ac:dyDescent="0.25">
      <c r="A2" t="s">
        <v>59</v>
      </c>
    </row>
    <row r="3" spans="1:1" x14ac:dyDescent="0.25">
      <c r="A3" t="s">
        <v>127</v>
      </c>
    </row>
    <row r="5" spans="1:1" x14ac:dyDescent="0.25">
      <c r="A5" t="s">
        <v>38</v>
      </c>
    </row>
    <row r="7" spans="1:1" x14ac:dyDescent="0.25">
      <c r="A7" t="s">
        <v>128</v>
      </c>
    </row>
    <row r="9" spans="1:1" x14ac:dyDescent="0.25">
      <c r="A9" t="s">
        <v>157</v>
      </c>
    </row>
    <row r="10" spans="1:1" x14ac:dyDescent="0.25">
      <c r="A10" t="s">
        <v>158</v>
      </c>
    </row>
    <row r="11" spans="1:1" x14ac:dyDescent="0.25">
      <c r="A11" t="s">
        <v>159</v>
      </c>
    </row>
    <row r="12" spans="1:1" x14ac:dyDescent="0.25">
      <c r="A12" t="s">
        <v>160</v>
      </c>
    </row>
    <row r="13" spans="1:1" x14ac:dyDescent="0.25">
      <c r="A13" t="s">
        <v>161</v>
      </c>
    </row>
    <row r="14" spans="1:1" x14ac:dyDescent="0.25">
      <c r="A14" t="s">
        <v>162</v>
      </c>
    </row>
    <row r="15" spans="1:1" x14ac:dyDescent="0.25">
      <c r="A15" t="s">
        <v>163</v>
      </c>
    </row>
    <row r="16" spans="1:1"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6" spans="1:1" x14ac:dyDescent="0.25">
      <c r="A26" t="s">
        <v>155</v>
      </c>
    </row>
    <row r="27" spans="1:1" x14ac:dyDescent="0.25">
      <c r="A27" t="s">
        <v>173</v>
      </c>
    </row>
    <row r="28" spans="1:1" x14ac:dyDescent="0.25">
      <c r="A28" t="s">
        <v>148</v>
      </c>
    </row>
    <row r="29" spans="1:1" x14ac:dyDescent="0.25">
      <c r="A29" t="s">
        <v>149</v>
      </c>
    </row>
    <row r="30" spans="1:1" x14ac:dyDescent="0.25">
      <c r="A30" t="s">
        <v>150</v>
      </c>
    </row>
    <row r="31" spans="1:1" x14ac:dyDescent="0.25">
      <c r="A31" t="s">
        <v>151</v>
      </c>
    </row>
    <row r="32" spans="1:1" x14ac:dyDescent="0.25">
      <c r="A32" t="s">
        <v>129</v>
      </c>
    </row>
    <row r="33" spans="1:6" x14ac:dyDescent="0.25">
      <c r="A33" t="s">
        <v>130</v>
      </c>
    </row>
    <row r="34" spans="1:6" x14ac:dyDescent="0.25">
      <c r="A34" t="s">
        <v>131</v>
      </c>
    </row>
    <row r="36" spans="1:6" x14ac:dyDescent="0.25">
      <c r="A36" s="18">
        <v>18013</v>
      </c>
      <c r="B36" s="18">
        <v>23</v>
      </c>
      <c r="C36" t="s">
        <v>180</v>
      </c>
      <c r="D36" t="s">
        <v>121</v>
      </c>
      <c r="F36" t="str">
        <f>"UPDATE "&amp; C36 &amp;" SET "&amp; D36 &amp;"="&amp; B36 &amp;" WHERE "&amp; D36 &amp;"="&amp;A36 &amp;";"</f>
        <v>UPDATE partidas SET idsolicitante=23 WHERE idsolicitante=18013;</v>
      </c>
    </row>
    <row r="37" spans="1:6" x14ac:dyDescent="0.25">
      <c r="A37">
        <f t="shared" ref="A37:B39" si="0">A36</f>
        <v>18013</v>
      </c>
      <c r="B37">
        <f t="shared" si="0"/>
        <v>23</v>
      </c>
      <c r="C37" t="s">
        <v>181</v>
      </c>
      <c r="D37" t="s">
        <v>121</v>
      </c>
      <c r="F37" t="str">
        <f t="shared" ref="F37:F39" si="1">"UPDATE "&amp; C37 &amp;" SET "&amp; D37 &amp;"="&amp; B37 &amp;" WHERE "&amp; D37 &amp;"="&amp;A37 &amp;";"</f>
        <v>UPDATE requisiciones SET idsolicitante=23 WHERE idsolicitante=18013;</v>
      </c>
    </row>
    <row r="38" spans="1:6" x14ac:dyDescent="0.25">
      <c r="A38">
        <f t="shared" si="0"/>
        <v>18013</v>
      </c>
      <c r="B38">
        <f t="shared" si="0"/>
        <v>23</v>
      </c>
      <c r="C38" t="s">
        <v>182</v>
      </c>
      <c r="D38" t="s">
        <v>55</v>
      </c>
      <c r="F38" t="str">
        <f t="shared" si="1"/>
        <v>UPDATE comentariospartidas SET idusuario=23 WHERE idusuario=18013;</v>
      </c>
    </row>
    <row r="39" spans="1:6" x14ac:dyDescent="0.25">
      <c r="A39">
        <f t="shared" si="0"/>
        <v>18013</v>
      </c>
      <c r="B39">
        <f t="shared" si="0"/>
        <v>23</v>
      </c>
      <c r="C39" t="s">
        <v>183</v>
      </c>
      <c r="D39" t="s">
        <v>55</v>
      </c>
      <c r="F39" t="str">
        <f t="shared" si="1"/>
        <v>UPDATE comentariosrequisiciones SET idusuario=23 WHERE idusuario=18013;</v>
      </c>
    </row>
    <row r="42" spans="1:6" x14ac:dyDescent="0.25">
      <c r="A42" s="18">
        <v>18885</v>
      </c>
      <c r="B42" s="18" t="s">
        <v>188</v>
      </c>
      <c r="F42" t="str">
        <f t="shared" ref="F42:F52" si="2">"INSERT INTO usuarios VALUES (0,"&amp; A42 &amp;",'"&amp; B42 &amp;"','"&amp; LEFT(SUBSTITUTE(B42," ",""),FIND(" ",B42)) &amp;"','',SHA1('"&amp; A42 &amp;"'),'',0,0,1);"</f>
        <v>INSERT INTO usuarios VALUES (0,18885,'Mario Elias','MarioE','',SHA1('18885'),'',0,0,1);</v>
      </c>
    </row>
    <row r="43" spans="1:6" x14ac:dyDescent="0.25">
      <c r="A43" s="18">
        <v>11524</v>
      </c>
      <c r="B43" s="18" t="s">
        <v>189</v>
      </c>
      <c r="F43" t="str">
        <f t="shared" si="2"/>
        <v>INSERT INTO usuarios VALUES (0,11524,'Mauro Cruz','MauroC','',SHA1('11524'),'',0,0,1);</v>
      </c>
    </row>
    <row r="44" spans="1:6" x14ac:dyDescent="0.25">
      <c r="A44" s="18">
        <v>15576</v>
      </c>
      <c r="B44" s="18" t="s">
        <v>190</v>
      </c>
      <c r="F44" t="str">
        <f t="shared" si="2"/>
        <v>INSERT INTO usuarios VALUES (0,15576,'Oswaldo Flores','OswaldoF','',SHA1('15576'),'',0,0,1);</v>
      </c>
    </row>
    <row r="45" spans="1:6" x14ac:dyDescent="0.25">
      <c r="A45" s="18">
        <v>11687</v>
      </c>
      <c r="B45" s="18" t="s">
        <v>191</v>
      </c>
      <c r="F45" t="str">
        <f t="shared" si="2"/>
        <v>INSERT INTO usuarios VALUES (0,11687,'Genaro Hernandez','GenaroH','',SHA1('11687'),'',0,0,1);</v>
      </c>
    </row>
    <row r="46" spans="1:6" x14ac:dyDescent="0.25">
      <c r="A46" s="18">
        <v>24648</v>
      </c>
      <c r="B46" s="18" t="s">
        <v>192</v>
      </c>
      <c r="F46" t="str">
        <f t="shared" si="2"/>
        <v>INSERT INTO usuarios VALUES (0,24648,'Pedro Herrera','PedroH','',SHA1('24648'),'',0,0,1);</v>
      </c>
    </row>
    <row r="47" spans="1:6" x14ac:dyDescent="0.25">
      <c r="A47" s="18">
        <v>26192</v>
      </c>
      <c r="B47" s="18" t="s">
        <v>193</v>
      </c>
      <c r="F47" t="str">
        <f t="shared" si="2"/>
        <v>INSERT INTO usuarios VALUES (0,26192,'Rafael Marquez','RafaelM','',SHA1('26192'),'',0,0,1);</v>
      </c>
    </row>
    <row r="48" spans="1:6" x14ac:dyDescent="0.25">
      <c r="A48" s="18">
        <v>15088</v>
      </c>
      <c r="B48" s="18" t="s">
        <v>194</v>
      </c>
      <c r="F48" t="str">
        <f t="shared" si="2"/>
        <v>INSERT INTO usuarios VALUES (0,15088,'Silvestre Flores','SilvestreF','',SHA1('15088'),'',0,0,1);</v>
      </c>
    </row>
    <row r="49" spans="1:6" x14ac:dyDescent="0.25">
      <c r="A49" s="18">
        <v>13134</v>
      </c>
      <c r="B49" s="18" t="s">
        <v>195</v>
      </c>
      <c r="F49" t="str">
        <f t="shared" si="2"/>
        <v>INSERT INTO usuarios VALUES (0,13134,'Marcelo Ramos','MarceloR','',SHA1('13134'),'',0,0,1);</v>
      </c>
    </row>
    <row r="50" spans="1:6" x14ac:dyDescent="0.25">
      <c r="A50" s="18">
        <v>18478</v>
      </c>
      <c r="B50" s="18" t="s">
        <v>196</v>
      </c>
      <c r="F50" t="str">
        <f t="shared" si="2"/>
        <v>INSERT INTO usuarios VALUES (0,18478,'Enrique Jimenez','EnriqueJ','',SHA1('18478'),'',0,0,1);</v>
      </c>
    </row>
    <row r="51" spans="1:6" x14ac:dyDescent="0.25">
      <c r="A51" s="18">
        <v>2135</v>
      </c>
      <c r="B51" s="18" t="s">
        <v>197</v>
      </c>
      <c r="F51" t="str">
        <f t="shared" si="2"/>
        <v>INSERT INTO usuarios VALUES (0,2135,'Jose Lopez','JoseL','',SHA1('2135'),'',0,0,1);</v>
      </c>
    </row>
    <row r="52" spans="1:6" x14ac:dyDescent="0.25">
      <c r="A52" s="18">
        <v>27345</v>
      </c>
      <c r="B52" s="18" t="s">
        <v>198</v>
      </c>
      <c r="F52" t="str">
        <f t="shared" si="2"/>
        <v>INSERT INTO usuarios VALUES (0,27345,'Ernesto Orozco','ErnestoO','',SHA1('27345'),'',0,0,1);</v>
      </c>
    </row>
    <row r="53" spans="1:6" x14ac:dyDescent="0.25">
      <c r="A53" s="18">
        <v>24124</v>
      </c>
      <c r="B53" s="18" t="s">
        <v>199</v>
      </c>
      <c r="F53" t="str">
        <f t="shared" ref="F53:F62" si="3">"INSERT INTO usuarios VALUES (0,"&amp; A53 &amp;",'"&amp; B53 &amp;"','"&amp; LEFT(SUBSTITUTE(B53," ",""),FIND(" ",B53)) &amp;"','',SHA1('"&amp; A53 &amp;"'),'',0,0,1);"</f>
        <v>INSERT INTO usuarios VALUES (0,24124,'Alejandro Santana','AlejandroS','',SHA1('24124'),'',0,0,1);</v>
      </c>
    </row>
    <row r="54" spans="1:6" x14ac:dyDescent="0.25">
      <c r="A54" s="18">
        <v>22625</v>
      </c>
      <c r="B54" s="18" t="s">
        <v>200</v>
      </c>
      <c r="F54" t="str">
        <f t="shared" si="3"/>
        <v>INSERT INTO usuarios VALUES (0,22625,'Alfredo Cid','AlfredoC','',SHA1('22625'),'',0,0,1);</v>
      </c>
    </row>
    <row r="55" spans="1:6" x14ac:dyDescent="0.25">
      <c r="A55" s="18">
        <v>50020</v>
      </c>
      <c r="B55" s="18" t="s">
        <v>201</v>
      </c>
      <c r="F55" t="str">
        <f t="shared" si="3"/>
        <v>INSERT INTO usuarios VALUES (0,50020,'Manuel Estrada','ManuelE','',SHA1('50020'),'',0,0,1);</v>
      </c>
    </row>
    <row r="56" spans="1:6" x14ac:dyDescent="0.25">
      <c r="A56" s="18">
        <v>24473</v>
      </c>
      <c r="B56" s="18" t="s">
        <v>202</v>
      </c>
      <c r="F56" t="str">
        <f t="shared" si="3"/>
        <v>INSERT INTO usuarios VALUES (0,24473,'Jose Montes','JoseM','',SHA1('24473'),'',0,0,1);</v>
      </c>
    </row>
    <row r="57" spans="1:6" x14ac:dyDescent="0.25">
      <c r="A57" s="18">
        <v>25660</v>
      </c>
      <c r="B57" s="18" t="s">
        <v>203</v>
      </c>
      <c r="F57" t="str">
        <f t="shared" si="3"/>
        <v>INSERT INTO usuarios VALUES (0,25660,'Arturo Carrera','ArturoC','',SHA1('25660'),'',0,0,1);</v>
      </c>
    </row>
    <row r="58" spans="1:6" x14ac:dyDescent="0.25">
      <c r="A58" s="18">
        <v>28958</v>
      </c>
      <c r="B58" s="18" t="s">
        <v>210</v>
      </c>
      <c r="F58" t="str">
        <f t="shared" si="3"/>
        <v>INSERT INTO usuarios VALUES (0,28958,'Jaime Cortes','JaimeC','',SHA1('28958'),'',0,0,1);</v>
      </c>
    </row>
    <row r="59" spans="1:6" x14ac:dyDescent="0.25">
      <c r="A59" s="18">
        <v>25577</v>
      </c>
      <c r="B59" s="18" t="s">
        <v>211</v>
      </c>
      <c r="F59" t="str">
        <f t="shared" si="3"/>
        <v>INSERT INTO usuarios VALUES (0,25577,'Alejandro Luna','AlejandroL','',SHA1('25577'),'',0,0,1);</v>
      </c>
    </row>
    <row r="60" spans="1:6" x14ac:dyDescent="0.25">
      <c r="A60" s="18">
        <v>30693</v>
      </c>
      <c r="B60" s="18" t="s">
        <v>214</v>
      </c>
      <c r="F60" t="str">
        <f t="shared" si="3"/>
        <v>INSERT INTO usuarios VALUES (0,30693,'Gerardo Ginez','GerardoG','',SHA1('30693'),'',0,0,1);</v>
      </c>
    </row>
    <row r="61" spans="1:6" x14ac:dyDescent="0.25">
      <c r="A61" s="18">
        <v>29793</v>
      </c>
      <c r="B61" s="18" t="s">
        <v>215</v>
      </c>
      <c r="F61" t="str">
        <f t="shared" si="3"/>
        <v>INSERT INTO usuarios VALUES (0,29793,'Raul Morales','RaulM','',SHA1('29793'),'',0,0,1);</v>
      </c>
    </row>
    <row r="62" spans="1:6" x14ac:dyDescent="0.25">
      <c r="A62" s="18">
        <v>18013</v>
      </c>
      <c r="B62" s="18" t="s">
        <v>216</v>
      </c>
      <c r="F62" t="str">
        <f t="shared" si="3"/>
        <v>INSERT INTO usuarios VALUES (0,18013,'Ramon Horta','RamonH','',SHA1('18013'),'',0,0,1);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3:AA57"/>
  <sheetViews>
    <sheetView zoomScale="86" zoomScaleNormal="86" workbookViewId="0">
      <selection activeCell="N25" sqref="N25"/>
    </sheetView>
  </sheetViews>
  <sheetFormatPr baseColWidth="10" defaultRowHeight="15" x14ac:dyDescent="0.25"/>
  <cols>
    <col min="2" max="2" width="16.140625" customWidth="1"/>
    <col min="3" max="3" width="14.42578125" customWidth="1"/>
    <col min="4" max="4" width="3.140625" customWidth="1"/>
    <col min="6" max="6" width="16.140625" customWidth="1"/>
    <col min="7" max="7" width="13.140625" customWidth="1"/>
    <col min="8" max="8" width="3.140625" customWidth="1"/>
    <col min="10" max="10" width="16.140625" customWidth="1"/>
    <col min="11" max="11" width="13.140625" customWidth="1"/>
    <col min="12" max="12" width="3.140625" customWidth="1"/>
    <col min="14" max="14" width="16.140625" customWidth="1"/>
    <col min="15" max="15" width="13.140625" customWidth="1"/>
    <col min="16" max="16" width="3.140625" customWidth="1"/>
    <col min="18" max="18" width="16.140625" customWidth="1"/>
    <col min="19" max="19" width="13.140625" customWidth="1"/>
    <col min="20" max="20" width="3.140625" customWidth="1"/>
    <col min="22" max="22" width="16.140625" customWidth="1"/>
    <col min="23" max="23" width="13.140625" customWidth="1"/>
    <col min="24" max="24" width="3.140625" customWidth="1"/>
    <col min="26" max="26" width="16.140625" customWidth="1"/>
    <col min="27" max="27" width="13.140625" customWidth="1"/>
    <col min="28" max="28" width="4.42578125" customWidth="1"/>
  </cols>
  <sheetData>
    <row r="3" spans="1:27" x14ac:dyDescent="0.25">
      <c r="A3" s="37" t="s">
        <v>0</v>
      </c>
      <c r="B3" s="37"/>
      <c r="C3" s="37"/>
      <c r="E3" s="37" t="s">
        <v>1</v>
      </c>
      <c r="F3" s="37"/>
      <c r="G3" s="37"/>
      <c r="H3" s="1"/>
      <c r="I3" s="37" t="s">
        <v>10</v>
      </c>
      <c r="J3" s="37"/>
      <c r="K3" s="37"/>
      <c r="M3" s="34" t="s">
        <v>30</v>
      </c>
      <c r="N3" s="35"/>
      <c r="O3" s="36"/>
      <c r="Q3" s="31" t="s">
        <v>25</v>
      </c>
      <c r="R3" s="31"/>
      <c r="S3" s="31"/>
      <c r="U3" s="34" t="s">
        <v>27</v>
      </c>
      <c r="V3" s="35"/>
      <c r="W3" s="36"/>
      <c r="Y3" s="34" t="s">
        <v>28</v>
      </c>
      <c r="Z3" s="35"/>
      <c r="AA3" s="36"/>
    </row>
    <row r="4" spans="1:27" x14ac:dyDescent="0.25">
      <c r="A4" s="2" t="s">
        <v>127</v>
      </c>
      <c r="B4" s="2" t="s">
        <v>52</v>
      </c>
      <c r="C4" s="11" t="s">
        <v>118</v>
      </c>
      <c r="E4" s="2" t="s">
        <v>155</v>
      </c>
      <c r="F4" s="2" t="s">
        <v>52</v>
      </c>
      <c r="G4" s="11" t="s">
        <v>118</v>
      </c>
      <c r="I4" s="2" t="s">
        <v>173</v>
      </c>
      <c r="J4" s="2" t="s">
        <v>52</v>
      </c>
      <c r="K4" s="11" t="s">
        <v>118</v>
      </c>
      <c r="M4" s="2" t="s">
        <v>128</v>
      </c>
      <c r="N4" s="2" t="s">
        <v>2</v>
      </c>
      <c r="O4" s="11" t="s">
        <v>118</v>
      </c>
      <c r="Q4" s="2" t="s">
        <v>129</v>
      </c>
      <c r="R4" s="2" t="s">
        <v>2</v>
      </c>
      <c r="S4" s="11" t="s">
        <v>118</v>
      </c>
      <c r="U4" s="2" t="s">
        <v>130</v>
      </c>
      <c r="V4" s="2" t="s">
        <v>52</v>
      </c>
      <c r="W4" s="11" t="s">
        <v>118</v>
      </c>
      <c r="Y4" s="2" t="s">
        <v>131</v>
      </c>
      <c r="Z4" s="2" t="s">
        <v>2</v>
      </c>
      <c r="AA4" s="11" t="s">
        <v>118</v>
      </c>
    </row>
    <row r="5" spans="1:27" x14ac:dyDescent="0.25">
      <c r="A5" s="2" t="s">
        <v>187</v>
      </c>
      <c r="B5" s="2" t="s">
        <v>106</v>
      </c>
      <c r="C5" s="11" t="s">
        <v>117</v>
      </c>
      <c r="E5" s="2" t="s">
        <v>174</v>
      </c>
      <c r="F5" s="9" t="s">
        <v>54</v>
      </c>
      <c r="G5" s="9" t="s">
        <v>47</v>
      </c>
      <c r="I5" s="2" t="s">
        <v>175</v>
      </c>
      <c r="J5" s="9" t="s">
        <v>54</v>
      </c>
      <c r="K5" s="9" t="s">
        <v>47</v>
      </c>
      <c r="M5" s="2" t="s">
        <v>156</v>
      </c>
      <c r="N5" s="2" t="s">
        <v>3</v>
      </c>
      <c r="O5" s="11" t="s">
        <v>120</v>
      </c>
      <c r="Q5" s="2" t="s">
        <v>184</v>
      </c>
      <c r="R5" s="2" t="s">
        <v>31</v>
      </c>
      <c r="S5" s="11" t="s">
        <v>114</v>
      </c>
      <c r="U5" s="2" t="s">
        <v>185</v>
      </c>
      <c r="V5" s="2" t="s">
        <v>32</v>
      </c>
      <c r="W5" s="11" t="s">
        <v>114</v>
      </c>
      <c r="Y5" s="2" t="s">
        <v>186</v>
      </c>
      <c r="Z5" s="2" t="s">
        <v>26</v>
      </c>
      <c r="AA5" s="11" t="s">
        <v>117</v>
      </c>
    </row>
    <row r="6" spans="1:27" x14ac:dyDescent="0.25">
      <c r="A6" s="2"/>
      <c r="B6" s="2" t="s">
        <v>56</v>
      </c>
      <c r="C6" s="11" t="s">
        <v>113</v>
      </c>
      <c r="E6" s="2"/>
      <c r="F6" s="2" t="s">
        <v>108</v>
      </c>
      <c r="G6" s="11" t="s">
        <v>119</v>
      </c>
      <c r="I6" s="2"/>
      <c r="J6" s="2" t="s">
        <v>133</v>
      </c>
      <c r="K6" s="11" t="s">
        <v>120</v>
      </c>
      <c r="M6" s="2"/>
      <c r="N6" s="2" t="s">
        <v>6</v>
      </c>
      <c r="O6" s="11" t="s">
        <v>116</v>
      </c>
      <c r="Q6" s="2"/>
      <c r="R6" s="2" t="s">
        <v>6</v>
      </c>
      <c r="S6" s="11" t="s">
        <v>116</v>
      </c>
      <c r="U6" s="2"/>
      <c r="V6" s="2" t="s">
        <v>6</v>
      </c>
      <c r="W6" s="11" t="s">
        <v>116</v>
      </c>
      <c r="Y6" s="2"/>
      <c r="Z6" s="2" t="s">
        <v>4</v>
      </c>
      <c r="AA6" s="11" t="s">
        <v>114</v>
      </c>
    </row>
    <row r="7" spans="1:27" x14ac:dyDescent="0.25">
      <c r="A7" s="9" t="s">
        <v>136</v>
      </c>
      <c r="B7" s="9" t="s">
        <v>104</v>
      </c>
      <c r="C7" s="12" t="s">
        <v>114</v>
      </c>
      <c r="D7" s="17"/>
      <c r="E7" s="9" t="s">
        <v>136</v>
      </c>
      <c r="F7" s="9" t="s">
        <v>109</v>
      </c>
      <c r="G7" s="12" t="s">
        <v>117</v>
      </c>
      <c r="H7" s="17"/>
      <c r="I7" s="9" t="s">
        <v>136</v>
      </c>
      <c r="J7" s="9" t="s">
        <v>53</v>
      </c>
      <c r="K7" s="12" t="s">
        <v>116</v>
      </c>
      <c r="Y7" s="2" t="s">
        <v>136</v>
      </c>
      <c r="Z7" s="2" t="s">
        <v>6</v>
      </c>
      <c r="AA7" s="11" t="s">
        <v>116</v>
      </c>
    </row>
    <row r="8" spans="1:27" x14ac:dyDescent="0.25">
      <c r="A8" s="9" t="s">
        <v>137</v>
      </c>
      <c r="B8" s="9" t="s">
        <v>105</v>
      </c>
      <c r="C8" s="12" t="s">
        <v>115</v>
      </c>
      <c r="D8" s="17"/>
      <c r="E8" s="9" t="s">
        <v>137</v>
      </c>
      <c r="F8" s="9" t="s">
        <v>110</v>
      </c>
      <c r="G8" s="12" t="s">
        <v>68</v>
      </c>
      <c r="H8" s="17"/>
      <c r="I8" s="9" t="s">
        <v>137</v>
      </c>
      <c r="J8" s="9" t="s">
        <v>111</v>
      </c>
      <c r="K8" s="12" t="s">
        <v>116</v>
      </c>
    </row>
    <row r="9" spans="1:27" x14ac:dyDescent="0.25">
      <c r="A9" s="9" t="s">
        <v>138</v>
      </c>
      <c r="B9" s="9" t="s">
        <v>107</v>
      </c>
      <c r="C9" s="12" t="s">
        <v>77</v>
      </c>
      <c r="D9" s="17"/>
      <c r="E9" s="9" t="s">
        <v>138</v>
      </c>
      <c r="F9" s="9" t="s">
        <v>53</v>
      </c>
      <c r="G9" s="12" t="s">
        <v>116</v>
      </c>
      <c r="H9" s="17"/>
      <c r="I9" s="9" t="s">
        <v>138</v>
      </c>
      <c r="J9" s="9" t="s">
        <v>11</v>
      </c>
      <c r="K9" s="12" t="s">
        <v>116</v>
      </c>
    </row>
    <row r="10" spans="1:27" x14ac:dyDescent="0.25">
      <c r="A10" s="9" t="s">
        <v>139</v>
      </c>
      <c r="B10" s="9" t="s">
        <v>36</v>
      </c>
      <c r="C10" s="12" t="s">
        <v>77</v>
      </c>
      <c r="D10" s="17"/>
      <c r="E10" s="9" t="s">
        <v>139</v>
      </c>
      <c r="F10" s="9" t="s">
        <v>111</v>
      </c>
      <c r="G10" s="12" t="s">
        <v>116</v>
      </c>
      <c r="H10" s="17"/>
      <c r="I10" s="9" t="s">
        <v>139</v>
      </c>
      <c r="J10" s="9" t="s">
        <v>154</v>
      </c>
      <c r="K10" s="12" t="s">
        <v>47</v>
      </c>
    </row>
    <row r="11" spans="1:27" x14ac:dyDescent="0.25">
      <c r="A11" s="9" t="s">
        <v>140</v>
      </c>
      <c r="B11" s="9" t="s">
        <v>37</v>
      </c>
      <c r="C11" s="12" t="s">
        <v>116</v>
      </c>
      <c r="D11" s="17"/>
      <c r="E11" s="9" t="s">
        <v>140</v>
      </c>
      <c r="F11" s="9" t="s">
        <v>112</v>
      </c>
      <c r="G11" s="12" t="s">
        <v>116</v>
      </c>
      <c r="H11" s="17"/>
      <c r="I11" s="9" t="s">
        <v>140</v>
      </c>
      <c r="J11" s="9" t="s">
        <v>123</v>
      </c>
      <c r="K11" s="12" t="s">
        <v>117</v>
      </c>
    </row>
    <row r="12" spans="1:27" x14ac:dyDescent="0.25">
      <c r="A12" s="9" t="s">
        <v>141</v>
      </c>
      <c r="B12" s="9" t="s">
        <v>103</v>
      </c>
      <c r="C12" s="12" t="s">
        <v>116</v>
      </c>
      <c r="D12" s="17"/>
      <c r="E12" s="9" t="s">
        <v>141</v>
      </c>
      <c r="F12" s="9" t="s">
        <v>154</v>
      </c>
      <c r="G12" s="12" t="s">
        <v>47</v>
      </c>
      <c r="H12" s="17"/>
      <c r="I12" s="9" t="s">
        <v>141</v>
      </c>
      <c r="J12" s="9" t="s">
        <v>126</v>
      </c>
      <c r="K12" s="12" t="s">
        <v>117</v>
      </c>
      <c r="N12" s="10"/>
    </row>
    <row r="13" spans="1:27" x14ac:dyDescent="0.25">
      <c r="A13" s="9" t="s">
        <v>142</v>
      </c>
      <c r="B13" s="9" t="s">
        <v>53</v>
      </c>
      <c r="C13" s="12" t="s">
        <v>116</v>
      </c>
      <c r="D13" s="17"/>
      <c r="E13" s="9" t="s">
        <v>142</v>
      </c>
      <c r="F13" s="9" t="s">
        <v>12</v>
      </c>
      <c r="G13" s="12" t="s">
        <v>117</v>
      </c>
      <c r="H13" s="17"/>
      <c r="I13" s="9" t="s">
        <v>142</v>
      </c>
      <c r="J13" s="9" t="s">
        <v>124</v>
      </c>
      <c r="K13" s="12" t="s">
        <v>117</v>
      </c>
    </row>
    <row r="14" spans="1:27" x14ac:dyDescent="0.25">
      <c r="A14" s="17"/>
      <c r="B14" s="17"/>
      <c r="C14" s="17"/>
      <c r="D14" s="17"/>
      <c r="E14" s="9" t="s">
        <v>143</v>
      </c>
      <c r="F14" s="9" t="s">
        <v>14</v>
      </c>
      <c r="G14" s="12" t="s">
        <v>117</v>
      </c>
      <c r="H14" s="17"/>
      <c r="I14" s="9" t="s">
        <v>143</v>
      </c>
      <c r="J14" s="9" t="s">
        <v>125</v>
      </c>
      <c r="K14" s="12" t="s">
        <v>117</v>
      </c>
    </row>
    <row r="15" spans="1:27" x14ac:dyDescent="0.25">
      <c r="A15" s="17"/>
      <c r="B15" s="17"/>
      <c r="C15" s="17"/>
      <c r="D15" s="17"/>
      <c r="E15" s="9" t="s">
        <v>144</v>
      </c>
      <c r="F15" s="9" t="s">
        <v>122</v>
      </c>
      <c r="G15" s="12" t="s">
        <v>116</v>
      </c>
      <c r="H15" s="17"/>
      <c r="I15" s="9" t="s">
        <v>144</v>
      </c>
      <c r="J15" s="9" t="s">
        <v>132</v>
      </c>
      <c r="K15" s="12" t="s">
        <v>117</v>
      </c>
    </row>
    <row r="16" spans="1:27" x14ac:dyDescent="0.25">
      <c r="A16" s="17"/>
      <c r="B16" s="17"/>
      <c r="C16" s="17"/>
      <c r="D16" s="17"/>
      <c r="E16" s="9" t="s">
        <v>145</v>
      </c>
      <c r="F16" s="9" t="s">
        <v>121</v>
      </c>
      <c r="G16" s="12" t="s">
        <v>117</v>
      </c>
      <c r="H16" s="17"/>
      <c r="I16" s="9" t="s">
        <v>145</v>
      </c>
      <c r="J16" s="9" t="s">
        <v>122</v>
      </c>
      <c r="K16" s="12" t="s">
        <v>116</v>
      </c>
    </row>
    <row r="17" spans="1:11" x14ac:dyDescent="0.25">
      <c r="A17" s="17"/>
      <c r="B17" s="17"/>
      <c r="C17" s="17"/>
      <c r="D17" s="17"/>
      <c r="E17" s="9" t="s">
        <v>146</v>
      </c>
      <c r="F17" s="9" t="s">
        <v>55</v>
      </c>
      <c r="G17" s="12" t="s">
        <v>117</v>
      </c>
      <c r="H17" s="17"/>
      <c r="I17" s="9" t="s">
        <v>146</v>
      </c>
      <c r="J17" s="9" t="s">
        <v>121</v>
      </c>
      <c r="K17" s="12" t="s">
        <v>117</v>
      </c>
    </row>
    <row r="18" spans="1:11" x14ac:dyDescent="0.25">
      <c r="A18" s="17"/>
      <c r="B18" s="17"/>
      <c r="C18" s="17"/>
      <c r="D18" s="17"/>
      <c r="E18" s="17"/>
      <c r="F18" s="17"/>
      <c r="G18" s="17"/>
      <c r="H18" s="17"/>
      <c r="I18" s="9" t="s">
        <v>147</v>
      </c>
      <c r="J18" s="9" t="s">
        <v>55</v>
      </c>
      <c r="K18" s="12" t="s">
        <v>117</v>
      </c>
    </row>
    <row r="19" spans="1:11" x14ac:dyDescent="0.25">
      <c r="E19" s="4"/>
      <c r="F19" s="4"/>
      <c r="G19" s="13"/>
      <c r="I19" s="4"/>
      <c r="J19" s="4"/>
      <c r="K19" s="13"/>
    </row>
    <row r="20" spans="1:11" x14ac:dyDescent="0.25">
      <c r="E20" s="31" t="s">
        <v>40</v>
      </c>
      <c r="F20" s="31"/>
      <c r="G20" s="31"/>
      <c r="I20" s="31" t="s">
        <v>41</v>
      </c>
      <c r="J20" s="31"/>
      <c r="K20" s="31"/>
    </row>
    <row r="21" spans="1:11" x14ac:dyDescent="0.25">
      <c r="E21" s="2" t="s">
        <v>148</v>
      </c>
      <c r="F21" s="2" t="s">
        <v>52</v>
      </c>
      <c r="G21" s="11" t="s">
        <v>118</v>
      </c>
      <c r="I21" s="2" t="s">
        <v>149</v>
      </c>
      <c r="J21" s="2" t="s">
        <v>52</v>
      </c>
      <c r="K21" s="11" t="s">
        <v>118</v>
      </c>
    </row>
    <row r="22" spans="1:11" x14ac:dyDescent="0.25">
      <c r="E22" s="2" t="s">
        <v>176</v>
      </c>
      <c r="F22" s="2" t="s">
        <v>7</v>
      </c>
      <c r="G22" s="11" t="s">
        <v>117</v>
      </c>
      <c r="I22" s="2" t="s">
        <v>177</v>
      </c>
      <c r="J22" s="2" t="s">
        <v>14</v>
      </c>
      <c r="K22" s="11" t="s">
        <v>117</v>
      </c>
    </row>
    <row r="23" spans="1:11" x14ac:dyDescent="0.25">
      <c r="E23" s="2"/>
      <c r="F23" s="2" t="s">
        <v>102</v>
      </c>
      <c r="G23" s="11" t="s">
        <v>117</v>
      </c>
      <c r="I23" s="2"/>
      <c r="J23" s="2" t="s">
        <v>102</v>
      </c>
      <c r="K23" s="11" t="s">
        <v>117</v>
      </c>
    </row>
    <row r="24" spans="1:11" x14ac:dyDescent="0.25">
      <c r="E24" s="2" t="s">
        <v>136</v>
      </c>
      <c r="F24" s="2" t="s">
        <v>42</v>
      </c>
      <c r="G24" s="11" t="s">
        <v>43</v>
      </c>
      <c r="I24" s="2" t="s">
        <v>136</v>
      </c>
      <c r="J24" s="2" t="s">
        <v>42</v>
      </c>
      <c r="K24" s="11" t="s">
        <v>43</v>
      </c>
    </row>
    <row r="25" spans="1:11" x14ac:dyDescent="0.25">
      <c r="E25" s="2" t="s">
        <v>137</v>
      </c>
      <c r="F25" s="2" t="s">
        <v>55</v>
      </c>
      <c r="G25" s="11" t="s">
        <v>117</v>
      </c>
      <c r="I25" s="2" t="s">
        <v>137</v>
      </c>
      <c r="J25" s="2" t="s">
        <v>55</v>
      </c>
      <c r="K25" s="11" t="s">
        <v>117</v>
      </c>
    </row>
    <row r="26" spans="1:11" x14ac:dyDescent="0.25">
      <c r="E26" s="2" t="s">
        <v>138</v>
      </c>
      <c r="F26" s="2" t="s">
        <v>54</v>
      </c>
      <c r="G26" s="11" t="s">
        <v>47</v>
      </c>
      <c r="I26" s="2" t="s">
        <v>138</v>
      </c>
      <c r="J26" s="2" t="s">
        <v>54</v>
      </c>
      <c r="K26" s="11" t="s">
        <v>47</v>
      </c>
    </row>
    <row r="27" spans="1:11" x14ac:dyDescent="0.25">
      <c r="E27" s="2" t="s">
        <v>139</v>
      </c>
      <c r="F27" s="2" t="s">
        <v>53</v>
      </c>
      <c r="G27" s="11" t="s">
        <v>116</v>
      </c>
      <c r="I27" s="2" t="s">
        <v>139</v>
      </c>
      <c r="J27" s="2" t="s">
        <v>53</v>
      </c>
      <c r="K27" s="11" t="s">
        <v>116</v>
      </c>
    </row>
    <row r="29" spans="1:11" x14ac:dyDescent="0.25">
      <c r="A29" s="33" t="s">
        <v>24</v>
      </c>
      <c r="B29" s="33"/>
      <c r="C29" s="33"/>
      <c r="E29" s="31" t="s">
        <v>21</v>
      </c>
      <c r="F29" s="31"/>
      <c r="G29" s="31"/>
      <c r="I29" s="31" t="s">
        <v>23</v>
      </c>
      <c r="J29" s="31"/>
      <c r="K29" s="31"/>
    </row>
    <row r="30" spans="1:11" x14ac:dyDescent="0.25">
      <c r="A30" s="2" t="s">
        <v>134</v>
      </c>
      <c r="B30" s="2" t="s">
        <v>52</v>
      </c>
      <c r="C30" s="11" t="s">
        <v>118</v>
      </c>
      <c r="E30" s="2" t="s">
        <v>150</v>
      </c>
      <c r="F30" s="2" t="s">
        <v>52</v>
      </c>
      <c r="G30" s="11" t="s">
        <v>118</v>
      </c>
      <c r="I30" s="2" t="s">
        <v>151</v>
      </c>
      <c r="J30" s="2" t="s">
        <v>52</v>
      </c>
      <c r="K30" s="11" t="s">
        <v>118</v>
      </c>
    </row>
    <row r="31" spans="1:11" x14ac:dyDescent="0.25">
      <c r="A31" s="2" t="s">
        <v>135</v>
      </c>
      <c r="B31" s="2" t="s">
        <v>29</v>
      </c>
      <c r="C31" s="11" t="s">
        <v>117</v>
      </c>
      <c r="E31" s="2" t="s">
        <v>178</v>
      </c>
      <c r="F31" s="2" t="s">
        <v>7</v>
      </c>
      <c r="G31" s="11" t="s">
        <v>117</v>
      </c>
      <c r="I31" s="2" t="s">
        <v>179</v>
      </c>
      <c r="J31" s="2" t="s">
        <v>14</v>
      </c>
      <c r="K31" s="11" t="s">
        <v>117</v>
      </c>
    </row>
    <row r="32" spans="1:11" x14ac:dyDescent="0.25">
      <c r="A32" s="2"/>
      <c r="B32" s="2" t="s">
        <v>22</v>
      </c>
      <c r="C32" s="11" t="s">
        <v>39</v>
      </c>
      <c r="E32" s="2"/>
      <c r="F32" s="2" t="s">
        <v>56</v>
      </c>
      <c r="G32" s="11" t="s">
        <v>39</v>
      </c>
      <c r="I32" s="2"/>
      <c r="J32" s="2" t="s">
        <v>56</v>
      </c>
      <c r="K32" s="11" t="s">
        <v>39</v>
      </c>
    </row>
    <row r="33" spans="1:11" x14ac:dyDescent="0.25">
      <c r="A33" s="2" t="s">
        <v>136</v>
      </c>
      <c r="B33" s="2" t="s">
        <v>5</v>
      </c>
      <c r="C33" s="11" t="s">
        <v>117</v>
      </c>
      <c r="E33" s="2" t="s">
        <v>136</v>
      </c>
      <c r="F33" s="2" t="s">
        <v>57</v>
      </c>
      <c r="G33" s="11" t="s">
        <v>117</v>
      </c>
      <c r="I33" s="2" t="s">
        <v>136</v>
      </c>
      <c r="J33" s="2" t="s">
        <v>57</v>
      </c>
      <c r="K33" s="11" t="s">
        <v>117</v>
      </c>
    </row>
    <row r="34" spans="1:11" x14ac:dyDescent="0.25">
      <c r="A34" s="2" t="s">
        <v>137</v>
      </c>
      <c r="B34" s="2" t="s">
        <v>16</v>
      </c>
      <c r="C34" s="11" t="s">
        <v>47</v>
      </c>
      <c r="E34" s="2" t="s">
        <v>137</v>
      </c>
      <c r="F34" s="2" t="s">
        <v>55</v>
      </c>
      <c r="G34" s="11" t="s">
        <v>117</v>
      </c>
      <c r="I34" s="2" t="s">
        <v>137</v>
      </c>
      <c r="J34" s="2" t="s">
        <v>55</v>
      </c>
      <c r="K34" s="11" t="s">
        <v>117</v>
      </c>
    </row>
    <row r="35" spans="1:11" x14ac:dyDescent="0.25">
      <c r="A35" s="2" t="s">
        <v>138</v>
      </c>
      <c r="B35" s="2" t="s">
        <v>6</v>
      </c>
      <c r="C35" s="11" t="s">
        <v>116</v>
      </c>
      <c r="E35" s="2" t="s">
        <v>138</v>
      </c>
      <c r="F35" s="2" t="s">
        <v>16</v>
      </c>
      <c r="G35" s="11" t="s">
        <v>47</v>
      </c>
      <c r="I35" s="2" t="s">
        <v>138</v>
      </c>
      <c r="J35" s="2" t="s">
        <v>16</v>
      </c>
      <c r="K35" s="11" t="s">
        <v>47</v>
      </c>
    </row>
    <row r="36" spans="1:11" x14ac:dyDescent="0.25">
      <c r="A36" s="4"/>
      <c r="B36" s="4"/>
      <c r="C36" s="13"/>
      <c r="E36" s="2" t="s">
        <v>139</v>
      </c>
      <c r="F36" s="2" t="s">
        <v>6</v>
      </c>
      <c r="G36" s="11" t="s">
        <v>116</v>
      </c>
      <c r="I36" s="2" t="s">
        <v>139</v>
      </c>
      <c r="J36" s="2" t="s">
        <v>6</v>
      </c>
      <c r="K36" s="11" t="s">
        <v>116</v>
      </c>
    </row>
    <row r="38" spans="1:11" x14ac:dyDescent="0.25">
      <c r="A38" s="33" t="s">
        <v>15</v>
      </c>
      <c r="B38" s="33"/>
      <c r="C38" s="33"/>
      <c r="E38" s="33" t="s">
        <v>8</v>
      </c>
      <c r="F38" s="33"/>
      <c r="G38" s="33"/>
      <c r="I38" s="33" t="s">
        <v>13</v>
      </c>
      <c r="J38" s="33"/>
      <c r="K38" s="33"/>
    </row>
    <row r="39" spans="1:11" x14ac:dyDescent="0.25">
      <c r="A39" s="2" t="s">
        <v>44</v>
      </c>
      <c r="B39" s="2" t="s">
        <v>52</v>
      </c>
      <c r="C39" s="11" t="s">
        <v>118</v>
      </c>
      <c r="E39" s="2" t="s">
        <v>45</v>
      </c>
      <c r="F39" s="2" t="s">
        <v>2</v>
      </c>
      <c r="G39" s="11" t="s">
        <v>118</v>
      </c>
      <c r="I39" s="2" t="s">
        <v>46</v>
      </c>
      <c r="J39" s="2" t="s">
        <v>52</v>
      </c>
      <c r="K39" s="11" t="s">
        <v>118</v>
      </c>
    </row>
    <row r="40" spans="1:11" x14ac:dyDescent="0.25">
      <c r="A40" s="14" t="s">
        <v>49</v>
      </c>
      <c r="B40" s="2" t="s">
        <v>29</v>
      </c>
      <c r="C40" s="11" t="s">
        <v>117</v>
      </c>
      <c r="E40" s="2" t="s">
        <v>50</v>
      </c>
      <c r="F40" s="2" t="s">
        <v>7</v>
      </c>
      <c r="G40" s="11" t="s">
        <v>117</v>
      </c>
      <c r="I40" s="2" t="s">
        <v>51</v>
      </c>
      <c r="J40" s="2" t="s">
        <v>14</v>
      </c>
      <c r="K40" s="11" t="s">
        <v>117</v>
      </c>
    </row>
    <row r="41" spans="1:11" x14ac:dyDescent="0.25">
      <c r="A41" s="2"/>
      <c r="B41" s="2" t="s">
        <v>5</v>
      </c>
      <c r="C41" s="11" t="s">
        <v>117</v>
      </c>
      <c r="E41" s="2"/>
      <c r="F41" s="2" t="s">
        <v>5</v>
      </c>
      <c r="G41" s="11" t="s">
        <v>117</v>
      </c>
      <c r="I41" s="2"/>
      <c r="J41" s="2" t="s">
        <v>5</v>
      </c>
      <c r="K41" s="11" t="s">
        <v>117</v>
      </c>
    </row>
    <row r="42" spans="1:11" x14ac:dyDescent="0.25">
      <c r="A42" s="2"/>
      <c r="B42" s="2" t="s">
        <v>16</v>
      </c>
      <c r="C42" s="11" t="s">
        <v>47</v>
      </c>
      <c r="E42" s="2"/>
      <c r="F42" s="2" t="s">
        <v>16</v>
      </c>
      <c r="G42" s="11" t="s">
        <v>47</v>
      </c>
      <c r="I42" s="2"/>
      <c r="J42" s="2" t="s">
        <v>16</v>
      </c>
      <c r="K42" s="11" t="s">
        <v>47</v>
      </c>
    </row>
    <row r="43" spans="1:11" x14ac:dyDescent="0.25">
      <c r="A43" s="2"/>
      <c r="B43" s="2" t="s">
        <v>9</v>
      </c>
      <c r="C43" s="11" t="s">
        <v>117</v>
      </c>
      <c r="E43" s="2"/>
      <c r="F43" s="2" t="s">
        <v>9</v>
      </c>
      <c r="G43" s="11" t="s">
        <v>117</v>
      </c>
      <c r="I43" s="2"/>
      <c r="J43" s="2" t="s">
        <v>9</v>
      </c>
      <c r="K43" s="11" t="s">
        <v>117</v>
      </c>
    </row>
    <row r="44" spans="1:11" x14ac:dyDescent="0.25">
      <c r="E44" s="2"/>
      <c r="F44" s="9" t="s">
        <v>76</v>
      </c>
      <c r="G44" s="12" t="s">
        <v>117</v>
      </c>
      <c r="I44" s="2"/>
      <c r="J44" s="9" t="s">
        <v>76</v>
      </c>
      <c r="K44" s="12" t="s">
        <v>117</v>
      </c>
    </row>
    <row r="45" spans="1:11" x14ac:dyDescent="0.25">
      <c r="A45" s="32" t="s">
        <v>60</v>
      </c>
      <c r="B45" s="32"/>
      <c r="C45" s="32"/>
    </row>
    <row r="46" spans="1:11" x14ac:dyDescent="0.25">
      <c r="A46" s="2" t="s">
        <v>66</v>
      </c>
      <c r="B46" s="2" t="s">
        <v>52</v>
      </c>
      <c r="C46" s="11" t="s">
        <v>118</v>
      </c>
    </row>
    <row r="47" spans="1:11" x14ac:dyDescent="0.25">
      <c r="A47" s="2" t="s">
        <v>67</v>
      </c>
      <c r="B47" s="2" t="s">
        <v>55</v>
      </c>
      <c r="C47" s="2" t="s">
        <v>117</v>
      </c>
    </row>
    <row r="48" spans="1:11" x14ac:dyDescent="0.25">
      <c r="A48" s="2"/>
      <c r="B48" s="2" t="s">
        <v>63</v>
      </c>
      <c r="C48" s="2" t="s">
        <v>64</v>
      </c>
    </row>
    <row r="49" spans="1:3" x14ac:dyDescent="0.25">
      <c r="A49" s="2"/>
      <c r="B49" s="2" t="s">
        <v>61</v>
      </c>
      <c r="C49" s="2" t="s">
        <v>64</v>
      </c>
    </row>
    <row r="50" spans="1:3" x14ac:dyDescent="0.25">
      <c r="A50" s="2"/>
      <c r="B50" s="2" t="s">
        <v>62</v>
      </c>
      <c r="C50" s="2" t="s">
        <v>65</v>
      </c>
    </row>
    <row r="52" spans="1:3" x14ac:dyDescent="0.25">
      <c r="A52" s="31" t="s">
        <v>70</v>
      </c>
      <c r="B52" s="31"/>
      <c r="C52" s="31"/>
    </row>
    <row r="53" spans="1:3" x14ac:dyDescent="0.25">
      <c r="A53" s="2" t="s">
        <v>152</v>
      </c>
      <c r="B53" s="2" t="s">
        <v>52</v>
      </c>
      <c r="C53" s="11" t="s">
        <v>118</v>
      </c>
    </row>
    <row r="54" spans="1:3" x14ac:dyDescent="0.25">
      <c r="A54" s="2" t="s">
        <v>153</v>
      </c>
      <c r="B54" s="2" t="s">
        <v>55</v>
      </c>
      <c r="C54" s="2" t="s">
        <v>117</v>
      </c>
    </row>
    <row r="55" spans="1:3" x14ac:dyDescent="0.25">
      <c r="A55" s="2"/>
      <c r="B55" s="2" t="s">
        <v>100</v>
      </c>
      <c r="C55" s="2" t="s">
        <v>99</v>
      </c>
    </row>
    <row r="56" spans="1:3" x14ac:dyDescent="0.25">
      <c r="A56" s="2" t="s">
        <v>136</v>
      </c>
      <c r="B56" s="2" t="s">
        <v>71</v>
      </c>
      <c r="C56" s="2" t="s">
        <v>77</v>
      </c>
    </row>
    <row r="57" spans="1:3" x14ac:dyDescent="0.25">
      <c r="A57" s="2" t="s">
        <v>137</v>
      </c>
      <c r="B57" s="2" t="s">
        <v>72</v>
      </c>
      <c r="C57" s="2" t="s">
        <v>47</v>
      </c>
    </row>
  </sheetData>
  <mergeCells count="17">
    <mergeCell ref="Y3:AA3"/>
    <mergeCell ref="U3:W3"/>
    <mergeCell ref="E29:G29"/>
    <mergeCell ref="I29:K29"/>
    <mergeCell ref="A29:C29"/>
    <mergeCell ref="Q3:S3"/>
    <mergeCell ref="A3:C3"/>
    <mergeCell ref="E3:G3"/>
    <mergeCell ref="I3:K3"/>
    <mergeCell ref="M3:O3"/>
    <mergeCell ref="E20:G20"/>
    <mergeCell ref="A52:C52"/>
    <mergeCell ref="I20:K20"/>
    <mergeCell ref="A45:C45"/>
    <mergeCell ref="E38:G38"/>
    <mergeCell ref="A38:C38"/>
    <mergeCell ref="I38:K38"/>
  </mergeCells>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W16"/>
  <sheetViews>
    <sheetView workbookViewId="0">
      <selection activeCell="G24" sqref="G24"/>
    </sheetView>
  </sheetViews>
  <sheetFormatPr baseColWidth="10" defaultRowHeight="15" x14ac:dyDescent="0.25"/>
  <sheetData>
    <row r="2" spans="1:23" x14ac:dyDescent="0.25">
      <c r="A2" s="31" t="s">
        <v>89</v>
      </c>
      <c r="B2" s="31"/>
      <c r="C2" s="31"/>
      <c r="E2" s="31" t="s">
        <v>90</v>
      </c>
      <c r="F2" s="31"/>
      <c r="G2" s="31"/>
      <c r="I2" s="31" t="s">
        <v>91</v>
      </c>
      <c r="J2" s="31"/>
      <c r="K2" s="31"/>
      <c r="M2" s="31" t="s">
        <v>92</v>
      </c>
      <c r="N2" s="31"/>
      <c r="O2" s="31"/>
      <c r="Q2" s="31" t="s">
        <v>93</v>
      </c>
      <c r="R2" s="31"/>
      <c r="S2" s="31"/>
      <c r="U2" s="31" t="s">
        <v>94</v>
      </c>
      <c r="V2" s="31"/>
      <c r="W2" s="31"/>
    </row>
    <row r="3" spans="1:23" x14ac:dyDescent="0.25">
      <c r="A3" s="2" t="s">
        <v>95</v>
      </c>
      <c r="B3" s="2" t="s">
        <v>52</v>
      </c>
      <c r="C3" s="11" t="s">
        <v>33</v>
      </c>
      <c r="E3" s="2" t="s">
        <v>96</v>
      </c>
      <c r="F3" s="2" t="s">
        <v>52</v>
      </c>
      <c r="G3" s="11" t="s">
        <v>33</v>
      </c>
      <c r="I3" s="2"/>
      <c r="J3" s="2" t="s">
        <v>52</v>
      </c>
      <c r="K3" s="11" t="s">
        <v>33</v>
      </c>
      <c r="M3" s="2"/>
      <c r="N3" s="2" t="s">
        <v>52</v>
      </c>
      <c r="O3" s="11" t="s">
        <v>33</v>
      </c>
      <c r="Q3" s="2"/>
      <c r="R3" s="2" t="s">
        <v>52</v>
      </c>
      <c r="S3" s="11" t="s">
        <v>33</v>
      </c>
      <c r="U3" s="2"/>
      <c r="V3" s="2" t="s">
        <v>52</v>
      </c>
      <c r="W3" s="11" t="s">
        <v>33</v>
      </c>
    </row>
    <row r="4" spans="1:23" x14ac:dyDescent="0.25">
      <c r="A4" s="2" t="s">
        <v>87</v>
      </c>
      <c r="B4" s="2" t="s">
        <v>54</v>
      </c>
      <c r="C4" s="2" t="s">
        <v>47</v>
      </c>
      <c r="E4" s="2" t="s">
        <v>88</v>
      </c>
      <c r="F4" s="2" t="s">
        <v>54</v>
      </c>
      <c r="G4" s="2" t="s">
        <v>47</v>
      </c>
      <c r="I4" s="2"/>
      <c r="J4" s="2" t="s">
        <v>54</v>
      </c>
      <c r="K4" s="2" t="s">
        <v>47</v>
      </c>
      <c r="M4" s="2"/>
      <c r="N4" s="2" t="s">
        <v>54</v>
      </c>
      <c r="O4" s="2" t="s">
        <v>47</v>
      </c>
      <c r="Q4" s="2"/>
      <c r="R4" s="2" t="s">
        <v>54</v>
      </c>
      <c r="S4" s="2" t="s">
        <v>47</v>
      </c>
      <c r="U4" s="2"/>
      <c r="V4" s="2" t="s">
        <v>54</v>
      </c>
      <c r="W4" s="2" t="s">
        <v>47</v>
      </c>
    </row>
    <row r="5" spans="1:23" x14ac:dyDescent="0.25">
      <c r="A5" s="2"/>
      <c r="B5" s="2" t="s">
        <v>83</v>
      </c>
      <c r="C5" s="11" t="s">
        <v>48</v>
      </c>
      <c r="E5" s="2"/>
      <c r="F5" s="2" t="s">
        <v>80</v>
      </c>
      <c r="G5" s="11" t="s">
        <v>48</v>
      </c>
      <c r="I5" s="2"/>
      <c r="J5" s="2" t="s">
        <v>84</v>
      </c>
      <c r="K5" s="11" t="s">
        <v>48</v>
      </c>
      <c r="M5" s="2"/>
      <c r="N5" s="2" t="s">
        <v>85</v>
      </c>
      <c r="O5" s="11" t="s">
        <v>48</v>
      </c>
      <c r="Q5" s="2"/>
      <c r="R5" s="2" t="s">
        <v>84</v>
      </c>
      <c r="S5" s="11" t="s">
        <v>48</v>
      </c>
      <c r="U5" s="2"/>
      <c r="V5" s="2" t="s">
        <v>85</v>
      </c>
      <c r="W5" s="11" t="s">
        <v>48</v>
      </c>
    </row>
    <row r="6" spans="1:23" x14ac:dyDescent="0.25">
      <c r="A6" s="2"/>
      <c r="B6" s="2" t="s">
        <v>81</v>
      </c>
      <c r="C6" s="11" t="s">
        <v>43</v>
      </c>
      <c r="E6" s="2"/>
      <c r="F6" s="2" t="s">
        <v>81</v>
      </c>
      <c r="G6" s="11" t="s">
        <v>43</v>
      </c>
      <c r="I6" s="2"/>
      <c r="J6" s="2" t="s">
        <v>55</v>
      </c>
      <c r="K6" s="11" t="s">
        <v>48</v>
      </c>
      <c r="M6" s="2"/>
      <c r="N6" s="2" t="s">
        <v>55</v>
      </c>
      <c r="O6" s="11" t="s">
        <v>48</v>
      </c>
      <c r="Q6" s="2"/>
      <c r="R6" s="2" t="s">
        <v>55</v>
      </c>
      <c r="S6" s="11" t="s">
        <v>48</v>
      </c>
      <c r="U6" s="2"/>
      <c r="V6" s="2" t="s">
        <v>55</v>
      </c>
      <c r="W6" s="11" t="s">
        <v>48</v>
      </c>
    </row>
    <row r="7" spans="1:23" x14ac:dyDescent="0.25">
      <c r="A7" s="2"/>
      <c r="B7" s="2" t="s">
        <v>55</v>
      </c>
      <c r="C7" s="11" t="s">
        <v>48</v>
      </c>
      <c r="E7" s="2"/>
      <c r="F7" s="2" t="s">
        <v>55</v>
      </c>
      <c r="G7" s="11" t="s">
        <v>48</v>
      </c>
      <c r="I7" s="2"/>
      <c r="J7" s="2" t="s">
        <v>53</v>
      </c>
      <c r="K7" s="11" t="s">
        <v>78</v>
      </c>
      <c r="M7" s="2"/>
      <c r="N7" s="2" t="s">
        <v>53</v>
      </c>
      <c r="O7" s="11" t="s">
        <v>78</v>
      </c>
      <c r="Q7" s="2"/>
      <c r="R7" s="2" t="s">
        <v>53</v>
      </c>
      <c r="S7" s="11" t="s">
        <v>78</v>
      </c>
      <c r="U7" s="2"/>
      <c r="V7" s="2" t="s">
        <v>53</v>
      </c>
      <c r="W7" s="11" t="s">
        <v>78</v>
      </c>
    </row>
    <row r="8" spans="1:23" x14ac:dyDescent="0.25">
      <c r="A8" s="2"/>
      <c r="B8" s="2" t="s">
        <v>53</v>
      </c>
      <c r="C8" s="11" t="s">
        <v>78</v>
      </c>
      <c r="E8" s="2"/>
      <c r="F8" s="2" t="s">
        <v>53</v>
      </c>
      <c r="G8" s="11" t="s">
        <v>78</v>
      </c>
    </row>
    <row r="11" spans="1:23" x14ac:dyDescent="0.25">
      <c r="A11" s="33" t="s">
        <v>97</v>
      </c>
      <c r="B11" s="33"/>
      <c r="C11" s="33"/>
    </row>
    <row r="12" spans="1:23" x14ac:dyDescent="0.25">
      <c r="A12" s="2" t="s">
        <v>98</v>
      </c>
      <c r="B12" s="2" t="s">
        <v>52</v>
      </c>
      <c r="C12" s="11" t="s">
        <v>33</v>
      </c>
    </row>
    <row r="13" spans="1:23" x14ac:dyDescent="0.25">
      <c r="A13" s="2" t="s">
        <v>86</v>
      </c>
      <c r="B13" s="2" t="s">
        <v>79</v>
      </c>
      <c r="C13" s="11" t="s">
        <v>48</v>
      </c>
    </row>
    <row r="14" spans="1:23" x14ac:dyDescent="0.25">
      <c r="A14" s="2"/>
      <c r="B14" s="2" t="s">
        <v>82</v>
      </c>
      <c r="C14" s="11" t="s">
        <v>48</v>
      </c>
    </row>
    <row r="15" spans="1:23" x14ac:dyDescent="0.25">
      <c r="A15" s="2"/>
      <c r="B15" s="2" t="s">
        <v>54</v>
      </c>
      <c r="C15" s="11" t="s">
        <v>47</v>
      </c>
    </row>
    <row r="16" spans="1:23" x14ac:dyDescent="0.25">
      <c r="A16" s="2"/>
      <c r="B16" s="2" t="s">
        <v>61</v>
      </c>
      <c r="C16" s="11" t="s">
        <v>48</v>
      </c>
    </row>
  </sheetData>
  <mergeCells count="7">
    <mergeCell ref="U2:W2"/>
    <mergeCell ref="A2:C2"/>
    <mergeCell ref="A11:C11"/>
    <mergeCell ref="E2:G2"/>
    <mergeCell ref="I2:K2"/>
    <mergeCell ref="M2:O2"/>
    <mergeCell ref="Q2:S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2:O11"/>
  <sheetViews>
    <sheetView workbookViewId="0">
      <selection activeCell="A9" sqref="A9"/>
    </sheetView>
  </sheetViews>
  <sheetFormatPr baseColWidth="10" defaultRowHeight="15" x14ac:dyDescent="0.25"/>
  <sheetData>
    <row r="2" spans="1:15" x14ac:dyDescent="0.25">
      <c r="A2" s="38" t="s">
        <v>73</v>
      </c>
      <c r="B2" s="39"/>
      <c r="C2" s="40"/>
      <c r="E2" s="38" t="s">
        <v>69</v>
      </c>
      <c r="F2" s="39"/>
      <c r="G2" s="40"/>
      <c r="I2" s="38" t="s">
        <v>75</v>
      </c>
      <c r="J2" s="39"/>
      <c r="K2" s="40"/>
      <c r="M2" s="38" t="s">
        <v>101</v>
      </c>
      <c r="N2" s="39"/>
      <c r="O2" s="40"/>
    </row>
    <row r="3" spans="1:15" x14ac:dyDescent="0.25">
      <c r="A3" s="3">
        <v>1</v>
      </c>
      <c r="B3" s="4" t="s">
        <v>17</v>
      </c>
      <c r="C3" s="5"/>
      <c r="E3" s="3">
        <v>1</v>
      </c>
      <c r="F3" s="4" t="s">
        <v>17</v>
      </c>
      <c r="G3" s="5"/>
      <c r="I3" s="3">
        <v>1</v>
      </c>
      <c r="J3" s="4" t="s">
        <v>17</v>
      </c>
      <c r="K3" s="5"/>
      <c r="M3" s="3">
        <v>1</v>
      </c>
      <c r="N3" s="4" t="s">
        <v>17</v>
      </c>
      <c r="O3" s="5"/>
    </row>
    <row r="4" spans="1:15" x14ac:dyDescent="0.25">
      <c r="A4" s="3">
        <v>2</v>
      </c>
      <c r="B4" s="4" t="s">
        <v>18</v>
      </c>
      <c r="C4" s="5"/>
      <c r="E4" s="3">
        <v>2</v>
      </c>
      <c r="F4" s="4" t="s">
        <v>18</v>
      </c>
      <c r="G4" s="5"/>
      <c r="I4" s="3">
        <v>2</v>
      </c>
      <c r="J4" s="4" t="s">
        <v>18</v>
      </c>
      <c r="K4" s="5"/>
      <c r="M4" s="3">
        <v>2</v>
      </c>
      <c r="N4" s="4"/>
      <c r="O4" s="5"/>
    </row>
    <row r="5" spans="1:15" x14ac:dyDescent="0.25">
      <c r="A5" s="3">
        <v>3</v>
      </c>
      <c r="B5" s="4" t="s">
        <v>34</v>
      </c>
      <c r="C5" s="5"/>
      <c r="E5" s="3">
        <v>3</v>
      </c>
      <c r="F5" s="4" t="s">
        <v>34</v>
      </c>
      <c r="G5" s="5"/>
      <c r="I5" s="3">
        <v>3</v>
      </c>
      <c r="J5" s="4" t="s">
        <v>34</v>
      </c>
      <c r="K5" s="5"/>
      <c r="M5" s="3">
        <v>3</v>
      </c>
      <c r="N5" s="4"/>
      <c r="O5" s="5"/>
    </row>
    <row r="6" spans="1:15" x14ac:dyDescent="0.25">
      <c r="A6" s="3">
        <v>4</v>
      </c>
      <c r="B6" s="4"/>
      <c r="C6" s="5"/>
      <c r="E6" s="3">
        <v>4</v>
      </c>
      <c r="F6" s="4" t="s">
        <v>19</v>
      </c>
      <c r="G6" s="5"/>
      <c r="I6" s="3">
        <v>4</v>
      </c>
      <c r="J6" s="4" t="s">
        <v>19</v>
      </c>
      <c r="K6" s="5"/>
      <c r="M6" s="3">
        <v>4</v>
      </c>
      <c r="N6" s="4"/>
      <c r="O6" s="5"/>
    </row>
    <row r="7" spans="1:15" x14ac:dyDescent="0.25">
      <c r="A7" s="3">
        <v>5</v>
      </c>
      <c r="B7" s="4"/>
      <c r="C7" s="5"/>
      <c r="E7" s="3">
        <v>5</v>
      </c>
      <c r="F7" s="19" t="s">
        <v>217</v>
      </c>
      <c r="G7" s="5"/>
      <c r="I7" s="3">
        <v>5</v>
      </c>
      <c r="J7" s="19" t="s">
        <v>217</v>
      </c>
      <c r="K7" s="5"/>
      <c r="M7" s="3">
        <v>5</v>
      </c>
      <c r="N7" s="4"/>
      <c r="O7" s="5"/>
    </row>
    <row r="8" spans="1:15" x14ac:dyDescent="0.25">
      <c r="A8" s="3">
        <v>6</v>
      </c>
      <c r="B8" s="4" t="s">
        <v>20</v>
      </c>
      <c r="C8" s="5"/>
      <c r="E8" s="3">
        <v>6</v>
      </c>
      <c r="F8" s="4" t="s">
        <v>20</v>
      </c>
      <c r="G8" s="5"/>
      <c r="I8" s="3">
        <v>6</v>
      </c>
      <c r="J8" s="4" t="s">
        <v>20</v>
      </c>
      <c r="K8" s="5"/>
      <c r="M8" s="3">
        <v>6</v>
      </c>
      <c r="N8" s="4" t="s">
        <v>20</v>
      </c>
      <c r="O8" s="5"/>
    </row>
    <row r="9" spans="1:15" x14ac:dyDescent="0.25">
      <c r="A9" s="3">
        <v>7</v>
      </c>
      <c r="B9" s="4" t="s">
        <v>35</v>
      </c>
      <c r="C9" s="5"/>
      <c r="E9" s="6">
        <v>7</v>
      </c>
      <c r="F9" s="7"/>
      <c r="G9" s="8"/>
      <c r="I9" s="6">
        <v>7</v>
      </c>
      <c r="J9" s="7"/>
      <c r="K9" s="8"/>
      <c r="M9" s="6">
        <v>7</v>
      </c>
      <c r="N9" s="7"/>
      <c r="O9" s="8"/>
    </row>
    <row r="10" spans="1:15" x14ac:dyDescent="0.25">
      <c r="A10" s="15">
        <v>8</v>
      </c>
      <c r="B10" s="16" t="s">
        <v>74</v>
      </c>
      <c r="C10" s="8"/>
    </row>
    <row r="11" spans="1:15" x14ac:dyDescent="0.25">
      <c r="A11" s="4"/>
      <c r="B11" s="4"/>
      <c r="C11" s="4"/>
    </row>
  </sheetData>
  <mergeCells count="4">
    <mergeCell ref="A2:C2"/>
    <mergeCell ref="E2:G2"/>
    <mergeCell ref="I2:K2"/>
    <mergeCell ref="M2:O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42"/>
  <sheetViews>
    <sheetView tabSelected="1" workbookViewId="0">
      <selection activeCell="L23" sqref="L23"/>
    </sheetView>
  </sheetViews>
  <sheetFormatPr baseColWidth="10" defaultRowHeight="15" x14ac:dyDescent="0.25"/>
  <sheetData>
    <row r="1" spans="1:13" x14ac:dyDescent="0.25">
      <c r="A1" t="s">
        <v>133</v>
      </c>
      <c r="M1" t="s">
        <v>241</v>
      </c>
    </row>
    <row r="3" spans="1:13" x14ac:dyDescent="0.25">
      <c r="A3" s="33" t="s">
        <v>52</v>
      </c>
      <c r="B3" s="33"/>
      <c r="C3" s="33" t="s">
        <v>204</v>
      </c>
      <c r="D3" s="33"/>
      <c r="E3" s="33" t="s">
        <v>205</v>
      </c>
      <c r="F3" s="33"/>
      <c r="G3" s="33" t="s">
        <v>122</v>
      </c>
      <c r="H3" s="33"/>
      <c r="M3" t="s">
        <v>242</v>
      </c>
    </row>
    <row r="4" spans="1:13" x14ac:dyDescent="0.25">
      <c r="A4" s="33" t="s">
        <v>225</v>
      </c>
      <c r="B4" s="33"/>
      <c r="C4" s="33" t="s">
        <v>226</v>
      </c>
      <c r="D4" s="33"/>
      <c r="E4" s="33" t="s">
        <v>227</v>
      </c>
      <c r="F4" s="33"/>
      <c r="G4" s="33" t="s">
        <v>154</v>
      </c>
      <c r="H4" s="33"/>
      <c r="M4" t="s">
        <v>243</v>
      </c>
    </row>
    <row r="5" spans="1:13" x14ac:dyDescent="0.25">
      <c r="A5" s="33" t="s">
        <v>31</v>
      </c>
      <c r="B5" s="33"/>
      <c r="C5" s="33" t="s">
        <v>32</v>
      </c>
      <c r="D5" s="33"/>
      <c r="E5" s="33" t="s">
        <v>212</v>
      </c>
      <c r="F5" s="33"/>
      <c r="G5" s="33" t="s">
        <v>206</v>
      </c>
      <c r="H5" s="33"/>
      <c r="M5" t="s">
        <v>244</v>
      </c>
    </row>
    <row r="6" spans="1:13" ht="15.75" thickBot="1" x14ac:dyDescent="0.3">
      <c r="M6" t="s">
        <v>245</v>
      </c>
    </row>
    <row r="7" spans="1:13" ht="15.75" thickBot="1" x14ac:dyDescent="0.3">
      <c r="A7" s="50" t="s">
        <v>180</v>
      </c>
      <c r="B7" s="51"/>
      <c r="C7" s="51"/>
      <c r="D7" s="51"/>
      <c r="E7" s="51"/>
      <c r="F7" s="51"/>
      <c r="G7" s="51"/>
      <c r="H7" s="51"/>
      <c r="I7" s="27"/>
      <c r="M7" t="s">
        <v>246</v>
      </c>
    </row>
    <row r="8" spans="1:13" x14ac:dyDescent="0.25">
      <c r="A8" s="28" t="s">
        <v>108</v>
      </c>
      <c r="B8" s="29" t="s">
        <v>224</v>
      </c>
      <c r="C8" s="51" t="s">
        <v>110</v>
      </c>
      <c r="D8" s="51"/>
      <c r="E8" s="51"/>
      <c r="F8" s="51"/>
      <c r="G8" s="51"/>
      <c r="H8" s="56"/>
      <c r="I8" s="48" t="s">
        <v>221</v>
      </c>
      <c r="M8" t="s">
        <v>247</v>
      </c>
    </row>
    <row r="9" spans="1:13" ht="15.75" thickBot="1" x14ac:dyDescent="0.3">
      <c r="A9" s="30" t="s">
        <v>228</v>
      </c>
      <c r="B9" s="25" t="s">
        <v>212</v>
      </c>
      <c r="C9" s="25"/>
      <c r="D9" s="25"/>
      <c r="E9" s="25" t="s">
        <v>229</v>
      </c>
      <c r="F9" s="25" t="s">
        <v>122</v>
      </c>
      <c r="G9" s="25" t="s">
        <v>234</v>
      </c>
      <c r="H9" s="26" t="s">
        <v>154</v>
      </c>
      <c r="I9" s="48"/>
    </row>
    <row r="10" spans="1:13" x14ac:dyDescent="0.25">
      <c r="A10" s="50" t="s">
        <v>219</v>
      </c>
      <c r="B10" s="51"/>
      <c r="C10" s="51"/>
      <c r="D10" s="51"/>
      <c r="E10" s="51"/>
      <c r="F10" s="51"/>
      <c r="G10" s="51"/>
      <c r="H10" s="24" t="s">
        <v>221</v>
      </c>
      <c r="I10" s="48"/>
    </row>
    <row r="11" spans="1:13" ht="15.75" thickBot="1" x14ac:dyDescent="0.3">
      <c r="A11" s="52" t="s">
        <v>81</v>
      </c>
      <c r="B11" s="53"/>
      <c r="C11" s="53"/>
      <c r="D11" s="53"/>
      <c r="E11" s="53"/>
      <c r="F11" s="25" t="s">
        <v>54</v>
      </c>
      <c r="G11" s="25" t="s">
        <v>209</v>
      </c>
      <c r="H11" s="26" t="s">
        <v>221</v>
      </c>
      <c r="I11" s="48"/>
    </row>
    <row r="12" spans="1:13" x14ac:dyDescent="0.25">
      <c r="A12" s="50" t="s">
        <v>220</v>
      </c>
      <c r="B12" s="51"/>
      <c r="C12" s="51"/>
      <c r="D12" s="51"/>
      <c r="E12" s="51"/>
      <c r="F12" s="51"/>
      <c r="G12" s="51"/>
      <c r="H12" s="24" t="s">
        <v>221</v>
      </c>
      <c r="I12" s="48"/>
    </row>
    <row r="13" spans="1:13" ht="15.75" thickBot="1" x14ac:dyDescent="0.3">
      <c r="A13" s="52" t="s">
        <v>222</v>
      </c>
      <c r="B13" s="53"/>
      <c r="C13" s="53"/>
      <c r="D13" s="53"/>
      <c r="E13" s="25" t="s">
        <v>223</v>
      </c>
      <c r="F13" s="25" t="s">
        <v>54</v>
      </c>
      <c r="G13" s="25" t="s">
        <v>209</v>
      </c>
      <c r="H13" s="26" t="s">
        <v>221</v>
      </c>
      <c r="I13" s="49"/>
    </row>
    <row r="14" spans="1:13" ht="15.75" thickBot="1" x14ac:dyDescent="0.3"/>
    <row r="15" spans="1:13" x14ac:dyDescent="0.25">
      <c r="A15" s="54" t="s">
        <v>219</v>
      </c>
      <c r="B15" s="55"/>
      <c r="C15" s="55"/>
      <c r="D15" s="55"/>
      <c r="E15" s="55"/>
      <c r="F15" s="55"/>
      <c r="G15" s="55"/>
      <c r="H15" s="55"/>
      <c r="I15" s="20" t="s">
        <v>218</v>
      </c>
    </row>
    <row r="16" spans="1:13" ht="15.75" thickBot="1" x14ac:dyDescent="0.3">
      <c r="A16" s="41" t="s">
        <v>81</v>
      </c>
      <c r="B16" s="42"/>
      <c r="C16" s="42"/>
      <c r="D16" s="42"/>
      <c r="E16" s="42"/>
      <c r="F16" s="42"/>
      <c r="G16" s="21" t="s">
        <v>54</v>
      </c>
      <c r="H16" s="21" t="s">
        <v>209</v>
      </c>
      <c r="I16" s="22" t="s">
        <v>221</v>
      </c>
    </row>
    <row r="17" spans="1:9" x14ac:dyDescent="0.25">
      <c r="A17" s="43" t="s">
        <v>220</v>
      </c>
      <c r="B17" s="44"/>
      <c r="C17" s="44"/>
      <c r="D17" s="44"/>
      <c r="E17" s="44"/>
      <c r="F17" s="44"/>
      <c r="G17" s="44"/>
      <c r="H17" s="44"/>
      <c r="I17" s="23" t="s">
        <v>218</v>
      </c>
    </row>
    <row r="18" spans="1:9" ht="15.75" thickBot="1" x14ac:dyDescent="0.3">
      <c r="A18" s="41" t="s">
        <v>222</v>
      </c>
      <c r="B18" s="42"/>
      <c r="C18" s="42"/>
      <c r="D18" s="42"/>
      <c r="E18" s="42"/>
      <c r="F18" s="21" t="s">
        <v>223</v>
      </c>
      <c r="G18" s="21" t="s">
        <v>54</v>
      </c>
      <c r="H18" s="21" t="s">
        <v>209</v>
      </c>
      <c r="I18" s="22" t="s">
        <v>221</v>
      </c>
    </row>
    <row r="20" spans="1:9" x14ac:dyDescent="0.25">
      <c r="A20" s="2" t="s">
        <v>230</v>
      </c>
      <c r="B20" s="2" t="s">
        <v>213</v>
      </c>
      <c r="C20" s="2" t="s">
        <v>231</v>
      </c>
      <c r="D20" s="2" t="s">
        <v>207</v>
      </c>
      <c r="E20" s="2" t="s">
        <v>232</v>
      </c>
      <c r="F20" s="2" t="s">
        <v>208</v>
      </c>
      <c r="G20" s="2" t="s">
        <v>233</v>
      </c>
      <c r="H20" s="2" t="s">
        <v>209</v>
      </c>
    </row>
    <row r="23" spans="1:9" x14ac:dyDescent="0.25">
      <c r="A23" t="s">
        <v>235</v>
      </c>
    </row>
    <row r="25" spans="1:9" x14ac:dyDescent="0.25">
      <c r="A25" s="33" t="s">
        <v>237</v>
      </c>
      <c r="B25" s="33"/>
      <c r="C25" s="45" t="s">
        <v>204</v>
      </c>
      <c r="D25" s="47"/>
      <c r="E25" s="47"/>
      <c r="F25" s="47"/>
      <c r="G25" s="47"/>
      <c r="H25" s="46"/>
    </row>
    <row r="26" spans="1:9" x14ac:dyDescent="0.25">
      <c r="A26" s="45" t="s">
        <v>239</v>
      </c>
      <c r="B26" s="46"/>
      <c r="C26" s="45" t="s">
        <v>240</v>
      </c>
      <c r="D26" s="47"/>
      <c r="E26" s="47"/>
      <c r="F26" s="47"/>
      <c r="G26" s="47"/>
      <c r="H26" s="46"/>
    </row>
    <row r="27" spans="1:9" x14ac:dyDescent="0.25">
      <c r="A27" s="45" t="s">
        <v>238</v>
      </c>
      <c r="B27" s="46"/>
      <c r="C27" s="45" t="s">
        <v>32</v>
      </c>
      <c r="D27" s="47"/>
      <c r="E27" s="47"/>
      <c r="F27" s="47"/>
      <c r="G27" s="47"/>
      <c r="H27" s="46"/>
    </row>
    <row r="28" spans="1:9" ht="15.75" thickBot="1" x14ac:dyDescent="0.3"/>
    <row r="29" spans="1:9" ht="15.75" thickBot="1" x14ac:dyDescent="0.3">
      <c r="A29" s="50" t="s">
        <v>180</v>
      </c>
      <c r="B29" s="51"/>
      <c r="C29" s="51"/>
      <c r="D29" s="51"/>
      <c r="E29" s="51"/>
      <c r="F29" s="51"/>
      <c r="G29" s="51"/>
      <c r="H29" s="51"/>
      <c r="I29" s="27"/>
    </row>
    <row r="30" spans="1:9" x14ac:dyDescent="0.25">
      <c r="A30" s="28" t="s">
        <v>108</v>
      </c>
      <c r="B30" s="29" t="s">
        <v>224</v>
      </c>
      <c r="C30" s="51" t="s">
        <v>110</v>
      </c>
      <c r="D30" s="51"/>
      <c r="E30" s="51"/>
      <c r="F30" s="51"/>
      <c r="G30" s="51"/>
      <c r="H30" s="56"/>
      <c r="I30" s="48" t="s">
        <v>221</v>
      </c>
    </row>
    <row r="31" spans="1:9" ht="15.75" thickBot="1" x14ac:dyDescent="0.3">
      <c r="A31" s="30" t="s">
        <v>228</v>
      </c>
      <c r="B31" s="25" t="s">
        <v>212</v>
      </c>
      <c r="C31" s="25"/>
      <c r="D31" s="25"/>
      <c r="E31" s="25" t="s">
        <v>229</v>
      </c>
      <c r="F31" s="25" t="s">
        <v>122</v>
      </c>
      <c r="G31" s="25" t="s">
        <v>234</v>
      </c>
      <c r="H31" s="26" t="s">
        <v>154</v>
      </c>
      <c r="I31" s="48"/>
    </row>
    <row r="32" spans="1:9" x14ac:dyDescent="0.25">
      <c r="A32" s="50" t="s">
        <v>219</v>
      </c>
      <c r="B32" s="51"/>
      <c r="C32" s="51"/>
      <c r="D32" s="51"/>
      <c r="E32" s="51"/>
      <c r="F32" s="51"/>
      <c r="G32" s="51"/>
      <c r="H32" s="24" t="s">
        <v>221</v>
      </c>
      <c r="I32" s="48"/>
    </row>
    <row r="33" spans="1:9" ht="15.75" thickBot="1" x14ac:dyDescent="0.3">
      <c r="A33" s="52" t="s">
        <v>81</v>
      </c>
      <c r="B33" s="53"/>
      <c r="C33" s="53"/>
      <c r="D33" s="53"/>
      <c r="E33" s="53"/>
      <c r="F33" s="25"/>
      <c r="G33" s="25"/>
      <c r="H33" s="26" t="s">
        <v>221</v>
      </c>
      <c r="I33" s="48"/>
    </row>
    <row r="34" spans="1:9" x14ac:dyDescent="0.25">
      <c r="A34" s="50" t="s">
        <v>220</v>
      </c>
      <c r="B34" s="51"/>
      <c r="C34" s="51"/>
      <c r="D34" s="51"/>
      <c r="E34" s="51"/>
      <c r="F34" s="51"/>
      <c r="G34" s="51"/>
      <c r="H34" s="24" t="s">
        <v>221</v>
      </c>
      <c r="I34" s="48"/>
    </row>
    <row r="35" spans="1:9" ht="15.75" thickBot="1" x14ac:dyDescent="0.3">
      <c r="A35" s="52" t="s">
        <v>222</v>
      </c>
      <c r="B35" s="53"/>
      <c r="C35" s="53"/>
      <c r="D35" s="53"/>
      <c r="E35" s="25" t="s">
        <v>223</v>
      </c>
      <c r="F35" s="25"/>
      <c r="G35" s="25"/>
      <c r="H35" s="26" t="s">
        <v>221</v>
      </c>
      <c r="I35" s="49"/>
    </row>
    <row r="36" spans="1:9" ht="15.75" thickBot="1" x14ac:dyDescent="0.3"/>
    <row r="37" spans="1:9" x14ac:dyDescent="0.25">
      <c r="A37" s="54" t="s">
        <v>219</v>
      </c>
      <c r="B37" s="55"/>
      <c r="C37" s="55"/>
      <c r="D37" s="55"/>
      <c r="E37" s="55"/>
      <c r="F37" s="55"/>
      <c r="G37" s="55"/>
      <c r="H37" s="55"/>
      <c r="I37" s="20" t="s">
        <v>218</v>
      </c>
    </row>
    <row r="38" spans="1:9" ht="15.75" thickBot="1" x14ac:dyDescent="0.3">
      <c r="A38" s="41" t="s">
        <v>81</v>
      </c>
      <c r="B38" s="42"/>
      <c r="C38" s="42"/>
      <c r="D38" s="42"/>
      <c r="E38" s="42"/>
      <c r="F38" s="42"/>
      <c r="G38" s="21"/>
      <c r="H38" s="21"/>
      <c r="I38" s="22" t="s">
        <v>221</v>
      </c>
    </row>
    <row r="39" spans="1:9" x14ac:dyDescent="0.25">
      <c r="A39" s="43" t="s">
        <v>220</v>
      </c>
      <c r="B39" s="44"/>
      <c r="C39" s="44"/>
      <c r="D39" s="44"/>
      <c r="E39" s="44"/>
      <c r="F39" s="44"/>
      <c r="G39" s="44"/>
      <c r="H39" s="44"/>
      <c r="I39" s="23" t="s">
        <v>218</v>
      </c>
    </row>
    <row r="40" spans="1:9" ht="15.75" thickBot="1" x14ac:dyDescent="0.3">
      <c r="A40" s="41" t="s">
        <v>222</v>
      </c>
      <c r="B40" s="42"/>
      <c r="C40" s="42"/>
      <c r="D40" s="42"/>
      <c r="E40" s="42"/>
      <c r="G40" s="21"/>
      <c r="H40" s="21" t="s">
        <v>223</v>
      </c>
      <c r="I40" s="22" t="s">
        <v>221</v>
      </c>
    </row>
    <row r="42" spans="1:9" x14ac:dyDescent="0.25">
      <c r="A42" s="45" t="s">
        <v>232</v>
      </c>
      <c r="B42" s="46"/>
      <c r="C42" s="45" t="s">
        <v>236</v>
      </c>
      <c r="D42" s="47"/>
      <c r="E42" s="47"/>
      <c r="F42" s="47"/>
      <c r="G42" s="47"/>
      <c r="H42" s="46"/>
    </row>
  </sheetData>
  <mergeCells count="42">
    <mergeCell ref="A3:B3"/>
    <mergeCell ref="C3:D3"/>
    <mergeCell ref="E3:F3"/>
    <mergeCell ref="G3:H3"/>
    <mergeCell ref="A4:B4"/>
    <mergeCell ref="C4:D4"/>
    <mergeCell ref="E4:F4"/>
    <mergeCell ref="G4:H4"/>
    <mergeCell ref="A18:E18"/>
    <mergeCell ref="A17:H17"/>
    <mergeCell ref="A15:H15"/>
    <mergeCell ref="A16:F16"/>
    <mergeCell ref="A5:B5"/>
    <mergeCell ref="C5:D5"/>
    <mergeCell ref="E5:F5"/>
    <mergeCell ref="G5:H5"/>
    <mergeCell ref="C8:H8"/>
    <mergeCell ref="A7:H7"/>
    <mergeCell ref="I8:I13"/>
    <mergeCell ref="A10:G10"/>
    <mergeCell ref="A12:G12"/>
    <mergeCell ref="A13:D13"/>
    <mergeCell ref="A11:E11"/>
    <mergeCell ref="A37:H37"/>
    <mergeCell ref="A25:B25"/>
    <mergeCell ref="A29:H29"/>
    <mergeCell ref="C30:H30"/>
    <mergeCell ref="C27:H27"/>
    <mergeCell ref="C26:H26"/>
    <mergeCell ref="C25:H25"/>
    <mergeCell ref="A26:B26"/>
    <mergeCell ref="A27:B27"/>
    <mergeCell ref="I30:I35"/>
    <mergeCell ref="A32:G32"/>
    <mergeCell ref="A33:E33"/>
    <mergeCell ref="A34:G34"/>
    <mergeCell ref="A35:D35"/>
    <mergeCell ref="A38:F38"/>
    <mergeCell ref="A39:H39"/>
    <mergeCell ref="A40:E40"/>
    <mergeCell ref="A42:B42"/>
    <mergeCell ref="C42:H42"/>
  </mergeCells>
  <pageMargins left="0.7" right="0.7" top="0.75" bottom="0.75" header="0.3" footer="0.3"/>
  <pageSetup orientation="portrait" horizontalDpi="0"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Crear</vt:lpstr>
      <vt:lpstr>Hoja1</vt:lpstr>
      <vt:lpstr>Hoja4</vt:lpstr>
      <vt:lpstr>Hoja3</vt:lpstr>
      <vt:lpstr>Hoja2</vt:lpstr>
    </vt:vector>
  </TitlesOfParts>
  <Company>Luffi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Luffi</dc:creator>
  <cp:lastModifiedBy>Luffi</cp:lastModifiedBy>
  <dcterms:created xsi:type="dcterms:W3CDTF">2017-11-22T17:08:28Z</dcterms:created>
  <dcterms:modified xsi:type="dcterms:W3CDTF">2018-02-24T19:32:01Z</dcterms:modified>
</cp:coreProperties>
</file>