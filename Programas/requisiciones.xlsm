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hh\requisiciones-web\Programas\"/>
    </mc:Choice>
  </mc:AlternateContent>
  <bookViews>
    <workbookView xWindow="600" yWindow="75" windowWidth="8115" windowHeight="3465"/>
  </bookViews>
  <sheets>
    <sheet name="Crear" sheetId="2" r:id="rId1"/>
    <sheet name="Hoja1" sheetId="1" r:id="rId2"/>
    <sheet name="Hoja4" sheetId="4" r:id="rId3"/>
    <sheet name="Hoja3" sheetId="3" r:id="rId4"/>
  </sheets>
  <calcPr calcId="162913"/>
</workbook>
</file>

<file path=xl/calcChain.xml><?xml version="1.0" encoding="utf-8"?>
<calcChain xmlns="http://schemas.openxmlformats.org/spreadsheetml/2006/main">
  <c r="A38" i="2" l="1"/>
  <c r="A33" i="2"/>
  <c r="A34" i="2"/>
  <c r="A35" i="2"/>
  <c r="A36" i="2"/>
  <c r="A37" i="2"/>
  <c r="A22" i="2"/>
  <c r="A23" i="2"/>
  <c r="A24" i="2"/>
  <c r="A25" i="2"/>
  <c r="A26" i="2"/>
  <c r="A27" i="2"/>
  <c r="A28" i="2"/>
  <c r="A29" i="2"/>
  <c r="A30" i="2"/>
  <c r="A31" i="2"/>
  <c r="A32" i="2"/>
  <c r="A21" i="2"/>
</calcChain>
</file>

<file path=xl/comments1.xml><?xml version="1.0" encoding="utf-8"?>
<comments xmlns="http://schemas.openxmlformats.org/spreadsheetml/2006/main">
  <authors>
    <author>Luffi</author>
  </authors>
  <commentList>
    <comment ref="B47" authorId="0" shapeId="0">
      <text>
        <r>
          <rPr>
            <b/>
            <sz val="9"/>
            <color indexed="81"/>
            <rFont val="Tahoma"/>
            <charset val="1"/>
          </rPr>
          <t>Usuario que es creado, modificado o borrado.</t>
        </r>
      </text>
    </comment>
    <comment ref="B48" authorId="0" shape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<sst xmlns="http://schemas.openxmlformats.org/spreadsheetml/2006/main" count="570" uniqueCount="172">
  <si>
    <t>Usuarios</t>
  </si>
  <si>
    <t>Partidas</t>
  </si>
  <si>
    <t>LogPartidas</t>
  </si>
  <si>
    <t>Requisiciones</t>
  </si>
  <si>
    <t>LogRequisiciones</t>
  </si>
  <si>
    <t>LogUsuarios</t>
  </si>
  <si>
    <t>Crear</t>
  </si>
  <si>
    <t>Editar</t>
  </si>
  <si>
    <t>Imprimir</t>
  </si>
  <si>
    <t>Borrar</t>
  </si>
  <si>
    <t>AdjuntosPartidas</t>
  </si>
  <si>
    <t>AdjuntosRequisiciones</t>
  </si>
  <si>
    <t>AdjuntosUsuarios</t>
  </si>
  <si>
    <t>Departamentos</t>
  </si>
  <si>
    <t>Areas</t>
  </si>
  <si>
    <t>CentrosCostos</t>
  </si>
  <si>
    <t>Unidades</t>
  </si>
  <si>
    <t>departamento</t>
  </si>
  <si>
    <t>area</t>
  </si>
  <si>
    <t>INT AUTO_INCREMENT PRIMARY KEY</t>
  </si>
  <si>
    <t>Ver</t>
  </si>
  <si>
    <t>LogIn</t>
  </si>
  <si>
    <t>recoverypw</t>
  </si>
  <si>
    <t>recovery</t>
  </si>
  <si>
    <t>varchar(300)</t>
  </si>
  <si>
    <t>ComentariosPartidas</t>
  </si>
  <si>
    <t>ComentariosRequisiciones</t>
  </si>
  <si>
    <t>TEXT</t>
  </si>
  <si>
    <t>DATETIME</t>
  </si>
  <si>
    <t>INT</t>
  </si>
  <si>
    <t>id</t>
  </si>
  <si>
    <t>activo</t>
  </si>
  <si>
    <t>fecha</t>
  </si>
  <si>
    <t>idusuario</t>
  </si>
  <si>
    <t>nombre</t>
  </si>
  <si>
    <t>longitud</t>
  </si>
  <si>
    <t>OpcionesUsuarios</t>
  </si>
  <si>
    <t>clave</t>
  </si>
  <si>
    <t>valor</t>
  </si>
  <si>
    <t>seccion</t>
  </si>
  <si>
    <t>VARCHAR(100)</t>
  </si>
  <si>
    <t>VARCHAR(300)</t>
  </si>
  <si>
    <t>VARCHAR(500)</t>
  </si>
  <si>
    <t>ClaveLogPartidas</t>
  </si>
  <si>
    <t>token</t>
  </si>
  <si>
    <t>ClaveLogUsuarios</t>
  </si>
  <si>
    <t>AutoLogIn</t>
  </si>
  <si>
    <t>ClaveLogRequisiciones</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</si>
  <si>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</si>
  <si>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</si>
  <si>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</si>
  <si>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</si>
  <si>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</si>
  <si>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</si>
  <si>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</si>
  <si>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</si>
  <si>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</si>
  <si>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</si>
  <si>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</si>
  <si>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</si>
  <si>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</si>
  <si>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</si>
  <si>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</si>
  <si>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</si>
  <si>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</si>
  <si>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</si>
  <si>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LogAlarmas</t>
  </si>
  <si>
    <t>ClaveLogAlarmas</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</si>
  <si>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</si>
  <si>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</si>
  <si>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</si>
  <si>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</si>
  <si>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</si>
  <si>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</si>
  <si>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</si>
  <si>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</si>
  <si>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</si>
  <si>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</si>
  <si>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</si>
  <si>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</si>
  <si>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</si>
  <si>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</si>
  <si>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</si>
  <si>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</si>
  <si>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</si>
  <si>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</si>
  <si>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</si>
  <si>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</si>
  <si>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</si>
  <si>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</si>
  <si>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</si>
  <si>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</si>
  <si>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idcentrocostos</t>
  </si>
  <si>
    <t>requisicion</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</si>
  <si>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</si>
  <si>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</si>
  <si>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</si>
  <si>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</si>
  <si>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</si>
  <si>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</si>
  <si>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</si>
  <si>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</si>
  <si>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</si>
  <si>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</si>
  <si>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</si>
  <si>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</si>
  <si>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Surtida</t>
  </si>
  <si>
    <t>unidad</t>
  </si>
  <si>
    <t>fechasurtida</t>
  </si>
  <si>
    <t>NotificacionesRequisiciones</t>
  </si>
  <si>
    <t>NotificacionesPartidas</t>
  </si>
  <si>
    <t>CREATE TABLE opcionesusuarios (id INT UNSIGNED AUTO_INCREMENT PRIMARY KEY, idusuario INT UNSIGNED, seccion VARCHAR(100), clave VARCHAR(100), valor VARCHAR(300));</t>
  </si>
  <si>
    <t>idempresa</t>
  </si>
  <si>
    <t>fechaactiva</t>
  </si>
  <si>
    <t>fechaimpresa</t>
  </si>
  <si>
    <t>Empresas</t>
  </si>
  <si>
    <t>codigo</t>
  </si>
  <si>
    <t>direquisicion</t>
  </si>
  <si>
    <t>idactiva</t>
  </si>
  <si>
    <t>iduser</t>
  </si>
  <si>
    <t xml:space="preserve">15) </t>
  </si>
  <si>
    <t xml:space="preserve">16) </t>
  </si>
  <si>
    <t xml:space="preserve">17) </t>
  </si>
  <si>
    <t xml:space="preserve">18) </t>
  </si>
  <si>
    <t>fechamodificacion</t>
  </si>
  <si>
    <t>idmodificacion</t>
  </si>
  <si>
    <t>VARCHAR(1024)</t>
  </si>
  <si>
    <t>SeguidoresPartidas</t>
  </si>
  <si>
    <t>SeguidoresRequisiciones</t>
  </si>
  <si>
    <t xml:space="preserve">19) </t>
  </si>
  <si>
    <t xml:space="preserve">20) </t>
  </si>
  <si>
    <t>CREATE TABLE unidades (id INT UNSIGNED AUTO_INCREMENT PRIMARY KEY, unidad VARCHAR(10), activo TINYINT(1) UNSIGNED);</t>
  </si>
  <si>
    <t>CREATE TABLE departamentos (id INT UNSIGNED AUTO_INCREMENT PRIMARY KEY, idempresa INT UNSIGNED, departamento VARCHAR(20), activo TINYINT(1) UNSIGNED);</t>
  </si>
  <si>
    <t>CREATE TABLE areas (id INT UNSIGNED AUTO_INCREMENT PRIMARY KEY, idempresa INT UNSIGNED, area VARCHAR(20), activo TINYINT(1) UNSIGNED);</t>
  </si>
  <si>
    <t>CREATE TABLE centroscostos (id INT UNSIGNED AUTO_INCREMENT PRIMARY KEY, idempresa INT UNSIGNED, numero INT UNSIGNED, descripcion VARCHAR(20),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</si>
  <si>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</si>
  <si>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</si>
  <si>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notificacionespartidas (id INT AUTO_INCREMENT PRIMARY KEY, fecha DATETIME, clave INT, idpartida INT, idusuario INT, activo TINYINT(1));</t>
  </si>
  <si>
    <t>CREATE TABLE notificacionesrequisiciones (id INT AUTO_INCREMENT PRIMARY KEY, fecha DATETIME, clave INT, idrequisicion INT, idusuario INT, activo TINYINT(1));</t>
  </si>
  <si>
    <t>CREATE TABLE empresas (id INT UNSIGNED AUTO_INCREMENT PRIMARY KEY, codigo VARCHAR(10), nombre VARCHAR(50), activo TINYINT(1) UNSIGNED);</t>
  </si>
  <si>
    <t>fechacreacion</t>
  </si>
  <si>
    <t>Opciones</t>
  </si>
  <si>
    <t>idpadre</t>
  </si>
  <si>
    <t>ultimologin</t>
  </si>
  <si>
    <t>VARCHAR(8)</t>
  </si>
  <si>
    <t>CREATE TABLE requisiciones (id INT UNSIGNED AUTO_INCREMENT PRIMARY KEY, fecha DATETIME, requisicion VARCHAR(10), activo TINYINT(1) UNSIGNED, surtida TINYINT(1) UNSIGNED, impresa TINYINT(1) UNSIGNED, fechaactiva DATETIME, fechasurtida DATETIME, fechaimpresa DATETIME, fechamodificacion DATETIME, fechacreacion DATETIME, idactiva INT UNSIGNED, idsurtida INT UNSIGNED, idimpresa INT UNSIGNED, idmodificacion INT UNSIGNED, idempresa INT UNSIGNED, iddepartmento INT UNSIGNED, idarea INT UNSIGNED, idcentrocostos INT UNSIGNED, importancia TINYINT(1) UNSIGNED, idsolicitante INT UNSIGNED, idusuario INT UNSIGNED);</t>
  </si>
  <si>
    <t xml:space="preserve">21) </t>
  </si>
  <si>
    <t>CREATE TABLE opciones (id INT UNSIGNED AUTO_INCREMENT PRIMARY KEY, seccion VARCHAR(100), clave VARCHAR(100), valor VARCHAR(300));</t>
  </si>
  <si>
    <t>CREATE TABLE seguidorespartidas (id INT AUTO_INCREMENT PRIMARY KEY, idpartida INT, idusuario INT, activo TINYINT(1));</t>
  </si>
  <si>
    <t>CREATE TABLE seguidoresrequisiciones (id INT AUTO_INCREMENT PRIMARY KEY, idrequisicion INT, idusuario INT, activo TINYINT(1));</t>
  </si>
  <si>
    <t>CREATE TABLE usuarios (id INT UNSIGNED AUTO_INCREMENT PRIMARY KEY, numero INT UNSIGNED, nombre VARCHAR(80), usuario VARCHAR(20), email VARCHAR(50), password VARCHAR(40), token VARCHAR(8), ultimologin DATETIME, recoverypw VARCHAR(40), recovery TINYINT(1) UNSIGNED, su TINYINT(1) UNSIGNED, activo TINYINT(1) UNSIGNED);</t>
  </si>
  <si>
    <t>CREATE TABLE partidas (id INT UNSIGNED AUTO_INCREMENT PRIMARY KEY, fecha DATETIME, cantidad DECIMAL(12,3) UNSIGNED, idunidad INT UNSIGNED, descripcion VARCHAR(500), activo TINYINT(1) UNSIGNED, surtida TINYINT(1) UNSIGNED, impresa TINYINT(1) UNSIGNED, fechaactiva DATETIME, fechasurtida DATETIME, fechaimpresa DATETIME, fechamodificacion DATETIME, idactiva INT UNSIGNED, idsurtida INT UNSIGNED, idimpresa INT UNSIGNED, idmodificacion INT UNSIGNED, idcentrocostos INT UNSIGNED, idrequisicion INT UNSIGNED, importancia TINYINT(1) UNSIGNED, idsolicitante INT UNSIGNED, idusuario INT UNSIGNED);</t>
  </si>
  <si>
    <t>20191123 213510</t>
  </si>
  <si>
    <t>20191123 213523</t>
  </si>
  <si>
    <t>20191123 213533</t>
  </si>
  <si>
    <t>20191123 213615</t>
  </si>
  <si>
    <t>20191123 213629</t>
  </si>
  <si>
    <t>20191123 213638</t>
  </si>
  <si>
    <t>20191123 213645</t>
  </si>
  <si>
    <t>20191123 213654</t>
  </si>
  <si>
    <t>20191123 213746</t>
  </si>
  <si>
    <t>CREATE TABLE comentariospartidas (id INT UNSIGNED AUTO_INCREMENT PRIMARY KEY, idpartida INT UNSIGNED, idpadre INT UNSIGNED, comentario TEXT, idusuario INT UNSIGNED, fecha DATETIME, activo TINYINT(1) UNSIGNED);</t>
  </si>
  <si>
    <t>20191123 213801</t>
  </si>
  <si>
    <t>CREATE TABLE comentariosrequisiciones (id INT UNSIGNED AUTO_INCREMENT PRIMARY KEY, idrequisicion INT UNSIGNED, idpadre INT UNSIGNED, comentario TEXT, idusuario INT UNSIGNED, fecha DATETIME, activo TINYINT(1) UNSIGNED);</t>
  </si>
  <si>
    <t>20191123 213810</t>
  </si>
  <si>
    <t>20191123 213903</t>
  </si>
  <si>
    <t>20191123 213911</t>
  </si>
  <si>
    <t>20191123 213925</t>
  </si>
  <si>
    <t>20191123 213943</t>
  </si>
  <si>
    <t>20191123 213951</t>
  </si>
  <si>
    <t>20191123 214003</t>
  </si>
  <si>
    <t>20191123 214013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</si>
</sst>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9"/>
      <color indexed="81"/>
      <name val="Tahoma"/>
      <charset val="1"/>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0" borderId="0" xfId="0" applyFill="1" applyBorder="1"/>
    <xf numFmtId="0" fontId="0" fillId="0" borderId="0" xfId="0" applyFill="1" applyAlignment="1">
      <alignment horizontal="center"/>
    </xf>
    <xf numFmtId="0" fontId="0" fillId="0" borderId="7" xfId="0" applyFill="1" applyBorder="1" applyAlignment="1">
      <alignment horizontal="center"/>
    </xf>
    <xf numFmtId="0" fontId="0" fillId="0" borderId="8" xfId="0" applyFill="1" applyBorder="1" applyAlignment="1">
      <alignment horizontal="center"/>
    </xf>
    <xf numFmtId="0" fontId="0" fillId="0" borderId="9" xfId="0"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0" fontId="0" fillId="2"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A38"/>
  <sheetViews>
    <sheetView tabSelected="1" workbookViewId="0">
      <selection activeCell="C29" sqref="C29"/>
    </sheetView>
  </sheetViews>
  <sheetFormatPr baseColWidth="10" defaultRowHeight="15" x14ac:dyDescent="0.25"/>
  <cols>
    <col min="1" max="1" width="11.85546875" bestFit="1" customWidth="1"/>
    <col min="4" max="4" width="11.85546875" bestFit="1" customWidth="1"/>
    <col min="6" max="6" width="11.85546875" bestFit="1" customWidth="1"/>
  </cols>
  <sheetData>
    <row r="2" spans="1:1" x14ac:dyDescent="0.25">
      <c r="A2" t="s">
        <v>135</v>
      </c>
    </row>
    <row r="3" spans="1:1" x14ac:dyDescent="0.25">
      <c r="A3" t="s">
        <v>136</v>
      </c>
    </row>
    <row r="4" spans="1:1" x14ac:dyDescent="0.25">
      <c r="A4" t="s">
        <v>133</v>
      </c>
    </row>
    <row r="5" spans="1:1" x14ac:dyDescent="0.25">
      <c r="A5" t="s">
        <v>134</v>
      </c>
    </row>
    <row r="6" spans="1:1" x14ac:dyDescent="0.25">
      <c r="A6" t="s">
        <v>161</v>
      </c>
    </row>
    <row r="7" spans="1:1" x14ac:dyDescent="0.25">
      <c r="A7" t="s">
        <v>163</v>
      </c>
    </row>
    <row r="8" spans="1:1" x14ac:dyDescent="0.25">
      <c r="A8" t="s">
        <v>132</v>
      </c>
    </row>
    <row r="9" spans="1:1" x14ac:dyDescent="0.25">
      <c r="A9" t="s">
        <v>139</v>
      </c>
    </row>
    <row r="10" spans="1:1" x14ac:dyDescent="0.25">
      <c r="A10" t="s">
        <v>137</v>
      </c>
    </row>
    <row r="11" spans="1:1" x14ac:dyDescent="0.25">
      <c r="A11" t="s">
        <v>138</v>
      </c>
    </row>
    <row r="12" spans="1:1" x14ac:dyDescent="0.25">
      <c r="A12" t="s">
        <v>147</v>
      </c>
    </row>
    <row r="13" spans="1:1" x14ac:dyDescent="0.25">
      <c r="A13" t="s">
        <v>111</v>
      </c>
    </row>
    <row r="14" spans="1:1" x14ac:dyDescent="0.25">
      <c r="A14" t="s">
        <v>151</v>
      </c>
    </row>
    <row r="15" spans="1:1" x14ac:dyDescent="0.25">
      <c r="A15" t="s">
        <v>145</v>
      </c>
    </row>
    <row r="16" spans="1:1" x14ac:dyDescent="0.25">
      <c r="A16" t="s">
        <v>148</v>
      </c>
    </row>
    <row r="17" spans="1:1" x14ac:dyDescent="0.25">
      <c r="A17" t="s">
        <v>149</v>
      </c>
    </row>
    <row r="18" spans="1:1" x14ac:dyDescent="0.25">
      <c r="A18" t="s">
        <v>131</v>
      </c>
    </row>
    <row r="19" spans="1:1" x14ac:dyDescent="0.25">
      <c r="A19" t="s">
        <v>150</v>
      </c>
    </row>
    <row r="21" spans="1:1" x14ac:dyDescent="0.25">
      <c r="A21" t="str">
        <f>"$res = $db-&gt;prepare(" &amp; CHAR(34) &amp; A2 &amp;CHAR(34) &amp; ");"</f>
        <v>$res = $db-&gt;prepare("CREATE TABLE adjuntospartidas (id INT UNSIGNED AUTO_INCREMENT PRIMARY KEY, idpartida INT UNSIGNED, nombre VARCHAR(300), longitud INT UNSIGNED, idusuario INT UNSIGNED, fecha DATETIME, activo TINYINT(1) UNSIGNED);");</v>
      </c>
    </row>
    <row r="22" spans="1:1" x14ac:dyDescent="0.25">
      <c r="A22" t="str">
        <f t="shared" ref="A22:A37" si="0">"$res = $db-&gt;prepare(" &amp; CHAR(34) &amp; A3 &amp;CHAR(34) &amp; ");"</f>
        <v>$res = $db-&gt;prepare("CREATE TABLE adjuntosrequisiciones (id INT UNSIGNED AUTO_INCREMENT PRIMARY KEY, idrequisicion INT UNSIGNED, nombre VARCHAR(300), longitud INT UNSIGNED, idusuario INT UNSIGNED, fecha DATETIME, activo TINYINT(1) UNSIGNED);");</v>
      </c>
    </row>
    <row r="23" spans="1:1" x14ac:dyDescent="0.25">
      <c r="A23" t="str">
        <f t="shared" si="0"/>
        <v>$res = $db-&gt;prepare("CREATE TABLE areas (id INT UNSIGNED AUTO_INCREMENT PRIMARY KEY, idempresa INT UNSIGNED, area VARCHAR(20), activo TINYINT(1) UNSIGNED);");</v>
      </c>
    </row>
    <row r="24" spans="1:1" x14ac:dyDescent="0.25">
      <c r="A24" t="str">
        <f t="shared" si="0"/>
        <v>$res = $db-&gt;prepare("CREATE TABLE centroscostos (id INT UNSIGNED AUTO_INCREMENT PRIMARY KEY, idempresa INT UNSIGNED, numero INT UNSIGNED, descripcion VARCHAR(20), activo TINYINT(1) UNSIGNED);");</v>
      </c>
    </row>
    <row r="25" spans="1:1" x14ac:dyDescent="0.25">
      <c r="A25" t="str">
        <f t="shared" si="0"/>
        <v>$res = $db-&gt;prepare("CREATE TABLE comentariospartidas (id INT UNSIGNED AUTO_INCREMENT PRIMARY KEY, idpartida INT UNSIGNED, idpadre INT UNSIGNED, comentario TEXT, idusuario INT UNSIGNED, fecha DATETIME, activo TINYINT(1) UNSIGNED);");</v>
      </c>
    </row>
    <row r="26" spans="1:1" x14ac:dyDescent="0.25">
      <c r="A26" t="str">
        <f t="shared" si="0"/>
        <v>$res = $db-&gt;prepare("CREATE TABLE comentariosrequisiciones (id INT UNSIGNED AUTO_INCREMENT PRIMARY KEY, idrequisicion INT UNSIGNED, idpadre INT UNSIGNED, comentario TEXT, idusuario INT UNSIGNED, fecha DATETIME, activo TINYINT(1) UNSIGNED);");</v>
      </c>
    </row>
    <row r="27" spans="1:1" x14ac:dyDescent="0.25">
      <c r="A27" t="str">
        <f t="shared" si="0"/>
        <v>$res = $db-&gt;prepare("CREATE TABLE departamentos (id INT UNSIGNED AUTO_INCREMENT PRIMARY KEY, idempresa INT UNSIGNED, departamento VARCHAR(20), activo TINYINT(1) UNSIGNED);");</v>
      </c>
    </row>
    <row r="28" spans="1:1" x14ac:dyDescent="0.25">
      <c r="A28" t="str">
        <f t="shared" si="0"/>
        <v>$res = $db-&gt;prepare("CREATE TABLE empresas (id INT UNSIGNED AUTO_INCREMENT PRIMARY KEY, codigo VARCHAR(10), nombre VARCHAR(50), activo TINYINT(1) UNSIGNED);");</v>
      </c>
    </row>
    <row r="29" spans="1:1" x14ac:dyDescent="0.25">
      <c r="A29" t="str">
        <f t="shared" si="0"/>
        <v>$res = $db-&gt;prepare("CREATE TABLE notificacionespartidas (id INT AUTO_INCREMENT PRIMARY KEY, fecha DATETIME, clave INT, idpartida INT, idusuario INT, activo TINYINT(1));");</v>
      </c>
    </row>
    <row r="30" spans="1:1" x14ac:dyDescent="0.25">
      <c r="A30" t="str">
        <f t="shared" si="0"/>
        <v>$res = $db-&gt;prepare("CREATE TABLE notificacionesrequisiciones (id INT AUTO_INCREMENT PRIMARY KEY, fecha DATETIME, clave INT, idrequisicion INT, idusuario INT, activo TINYINT(1));");</v>
      </c>
    </row>
    <row r="31" spans="1:1" x14ac:dyDescent="0.25">
      <c r="A31" t="str">
        <f t="shared" si="0"/>
        <v>$res = $db-&gt;prepare("CREATE TABLE opciones (id INT UNSIGNED AUTO_INCREMENT PRIMARY KEY, seccion VARCHAR(100), clave VARCHAR(100), valor VARCHAR(300));");</v>
      </c>
    </row>
    <row r="32" spans="1:1" x14ac:dyDescent="0.25">
      <c r="A32" t="str">
        <f t="shared" si="0"/>
        <v>$res = $db-&gt;prepare("CREATE TABLE opcionesusuarios (id INT UNSIGNED AUTO_INCREMENT PRIMARY KEY, idusuario INT UNSIGNED, seccion VARCHAR(100), clave VARCHAR(100), valor VARCHAR(300));");</v>
      </c>
    </row>
    <row r="33" spans="1:1" x14ac:dyDescent="0.25">
      <c r="A33" t="str">
        <f t="shared" si="0"/>
        <v>$res = $db-&gt;prepare("CREATE TABLE partidas (id INT UNSIGNED AUTO_INCREMENT PRIMARY KEY, fecha DATETIME, cantidad DECIMAL(12,3) UNSIGNED, idunidad INT UNSIGNED, descripcion VARCHAR(500), activo TINYINT(1) UNSIGNED, surtida TINYINT(1) UNSIGNED, impresa TINYINT(1) UNSIGNED, fechaactiva DATETIME, fechasurtida DATETIME, fechaimpresa DATETIME, fechamodificacion DATETIME, idactiva INT UNSIGNED, idsurtida INT UNSIGNED, idimpresa INT UNSIGNED, idmodificacion INT UNSIGNED, idcentrocostos INT UNSIGNED, idrequisicion INT UNSIGNED, importancia TINYINT(1) UNSIGNED, idsolicitante INT UNSIGNED, idusuario INT UNSIGNED);");</v>
      </c>
    </row>
    <row r="34" spans="1:1" x14ac:dyDescent="0.25">
      <c r="A34" t="str">
        <f t="shared" si="0"/>
        <v>$res = $db-&gt;prepare("CREATE TABLE requisiciones (id INT UNSIGNED AUTO_INCREMENT PRIMARY KEY, fecha DATETIME, requisicion VARCHAR(10), activo TINYINT(1) UNSIGNED, surtida TINYINT(1) UNSIGNED, impresa TINYINT(1) UNSIGNED, fechaactiva DATETIME, fechasurtida DATETIME, fechaimpresa DATETIME, fechamodificacion DATETIME, fechacreacion DATETIME, idactiva INT UNSIGNED, idsurtida INT UNSIGNED, idimpresa INT UNSIGNED, idmodificacion INT UNSIGNED, idempresa INT UNSIGNED, iddepartmento INT UNSIGNED, idarea INT UNSIGNED, idcentrocostos INT UNSIGNED, importancia TINYINT(1) UNSIGNED, idsolicitante INT UNSIGNED, idusuario INT UNSIGNED);");</v>
      </c>
    </row>
    <row r="35" spans="1:1" x14ac:dyDescent="0.25">
      <c r="A35" t="str">
        <f t="shared" si="0"/>
        <v>$res = $db-&gt;prepare("CREATE TABLE seguidorespartidas (id INT AUTO_INCREMENT PRIMARY KEY, idpartida INT, idusuario INT, activo TINYINT(1));");</v>
      </c>
    </row>
    <row r="36" spans="1:1" x14ac:dyDescent="0.25">
      <c r="A36" t="str">
        <f t="shared" si="0"/>
        <v>$res = $db-&gt;prepare("CREATE TABLE seguidoresrequisiciones (id INT AUTO_INCREMENT PRIMARY KEY, idrequisicion INT, idusuario INT, activo TINYINT(1));");</v>
      </c>
    </row>
    <row r="37" spans="1:1" x14ac:dyDescent="0.25">
      <c r="A37" t="str">
        <f>"$res = $db-&gt;prepare(" &amp; CHAR(34) &amp; A18 &amp;CHAR(34) &amp; ");"</f>
        <v>$res = $db-&gt;prepare("CREATE TABLE unidades (id INT UNSIGNED AUTO_INCREMENT PRIMARY KEY, unidad VARCHAR(10), activo TINYINT(1) UNSIGNED);");</v>
      </c>
    </row>
    <row r="38" spans="1:1" x14ac:dyDescent="0.25">
      <c r="A38" t="str">
        <f>"$res = $db-&gt;prepare(" &amp; CHAR(34) &amp; A19 &amp;CHAR(34) &amp; ");"</f>
        <v>$res = $db-&gt;prepare("CREATE TABLE usuarios (id INT UNSIGNED AUTO_INCREMENT PRIMARY KEY, numero INT UNSIGNED, nombre VARCHAR(80), usuario VARCHAR(20), email VARCHAR(50), password VARCHAR(40), token VARCHAR(8), ultimologin DATETIME, recoverypw VARCHAR(40), recovery TINYINT(1) UNSIGNED, su TINYINT(1) UNSIGNED, activo TINYINT(1) UNSIGNED);");</v>
      </c>
    </row>
  </sheetData>
  <sortState ref="A2:A19">
    <sortCondition ref="A2:A1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E72"/>
  <sheetViews>
    <sheetView topLeftCell="L1" zoomScale="86" zoomScaleNormal="86" workbookViewId="0">
      <selection activeCell="B15" sqref="B15"/>
    </sheetView>
  </sheetViews>
  <sheetFormatPr baseColWidth="10" defaultRowHeight="15" x14ac:dyDescent="0.25"/>
  <cols>
    <col min="2" max="2" width="16.140625" customWidth="1"/>
    <col min="3" max="3" width="14.42578125" customWidth="1"/>
    <col min="4" max="4" width="3.140625" customWidth="1"/>
    <col min="6" max="6" width="18.28515625" bestFit="1" customWidth="1"/>
    <col min="7" max="7" width="13.140625" customWidth="1"/>
    <col min="8" max="8" width="3.140625" customWidth="1"/>
    <col min="10" max="10" width="18.28515625" bestFit="1" customWidth="1"/>
    <col min="11" max="11" width="13.140625" customWidth="1"/>
    <col min="12" max="12" width="3.140625" customWidth="1"/>
    <col min="13" max="14" width="12.5703125" customWidth="1"/>
    <col min="15" max="15" width="20.57031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3.140625" customWidth="1"/>
    <col min="30" max="30" width="16.140625" customWidth="1"/>
    <col min="31" max="31" width="13.140625" customWidth="1"/>
    <col min="32" max="32" width="4.42578125" customWidth="1"/>
  </cols>
  <sheetData>
    <row r="3" spans="1:31" s="16" customFormat="1" x14ac:dyDescent="0.25">
      <c r="A3" s="22" t="s">
        <v>0</v>
      </c>
      <c r="B3" s="22"/>
      <c r="C3" s="22"/>
      <c r="E3" s="22" t="s">
        <v>1</v>
      </c>
      <c r="F3" s="22"/>
      <c r="G3" s="22"/>
      <c r="H3" s="18"/>
      <c r="I3" s="22" t="s">
        <v>3</v>
      </c>
      <c r="J3" s="22"/>
      <c r="K3" s="22"/>
      <c r="M3" s="22" t="s">
        <v>115</v>
      </c>
      <c r="N3" s="22"/>
      <c r="O3" s="22"/>
      <c r="Q3" s="19" t="s">
        <v>16</v>
      </c>
      <c r="R3" s="20"/>
      <c r="S3" s="21"/>
      <c r="U3" s="22" t="s">
        <v>13</v>
      </c>
      <c r="V3" s="22"/>
      <c r="W3" s="22"/>
      <c r="Y3" s="19" t="s">
        <v>14</v>
      </c>
      <c r="Z3" s="20"/>
      <c r="AA3" s="21"/>
      <c r="AC3" s="19" t="s">
        <v>15</v>
      </c>
      <c r="AD3" s="20"/>
      <c r="AE3" s="21"/>
    </row>
    <row r="4" spans="1:31" x14ac:dyDescent="0.25">
      <c r="A4" s="1" t="s">
        <v>150</v>
      </c>
      <c r="B4" s="1" t="s">
        <v>30</v>
      </c>
      <c r="C4" s="10" t="s">
        <v>83</v>
      </c>
      <c r="E4" s="1" t="s">
        <v>151</v>
      </c>
      <c r="F4" s="1" t="s">
        <v>30</v>
      </c>
      <c r="G4" s="10" t="s">
        <v>83</v>
      </c>
      <c r="I4" s="1" t="s">
        <v>145</v>
      </c>
      <c r="J4" s="1" t="s">
        <v>30</v>
      </c>
      <c r="K4" s="10" t="s">
        <v>83</v>
      </c>
      <c r="M4" s="1" t="s">
        <v>139</v>
      </c>
      <c r="N4" s="1" t="s">
        <v>30</v>
      </c>
      <c r="O4" s="10" t="s">
        <v>83</v>
      </c>
      <c r="Q4" s="1" t="s">
        <v>131</v>
      </c>
      <c r="R4" s="1" t="s">
        <v>30</v>
      </c>
      <c r="S4" s="10" t="s">
        <v>83</v>
      </c>
      <c r="U4" s="1" t="s">
        <v>132</v>
      </c>
      <c r="V4" s="1" t="s">
        <v>30</v>
      </c>
      <c r="W4" s="10" t="s">
        <v>83</v>
      </c>
      <c r="Y4" s="1" t="s">
        <v>133</v>
      </c>
      <c r="Z4" s="1" t="s">
        <v>30</v>
      </c>
      <c r="AA4" s="10" t="s">
        <v>83</v>
      </c>
      <c r="AC4" s="1" t="s">
        <v>134</v>
      </c>
      <c r="AD4" s="1" t="s">
        <v>30</v>
      </c>
      <c r="AE4" s="10" t="s">
        <v>83</v>
      </c>
    </row>
    <row r="5" spans="1:31" x14ac:dyDescent="0.25">
      <c r="A5" s="1" t="s">
        <v>152</v>
      </c>
      <c r="B5" s="1" t="s">
        <v>71</v>
      </c>
      <c r="C5" s="10" t="s">
        <v>82</v>
      </c>
      <c r="E5" s="1" t="s">
        <v>153</v>
      </c>
      <c r="F5" s="8" t="s">
        <v>32</v>
      </c>
      <c r="G5" s="8" t="s">
        <v>28</v>
      </c>
      <c r="I5" s="1" t="s">
        <v>154</v>
      </c>
      <c r="J5" s="8" t="s">
        <v>32</v>
      </c>
      <c r="K5" s="8" t="s">
        <v>28</v>
      </c>
      <c r="M5" s="1" t="s">
        <v>155</v>
      </c>
      <c r="N5" s="1" t="s">
        <v>116</v>
      </c>
      <c r="O5" s="10" t="s">
        <v>85</v>
      </c>
      <c r="Q5" s="1" t="s">
        <v>156</v>
      </c>
      <c r="R5" s="1" t="s">
        <v>107</v>
      </c>
      <c r="S5" s="10" t="s">
        <v>85</v>
      </c>
      <c r="U5" s="1" t="s">
        <v>157</v>
      </c>
      <c r="V5" s="1" t="s">
        <v>112</v>
      </c>
      <c r="W5" s="11" t="s">
        <v>82</v>
      </c>
      <c r="Y5" s="1" t="s">
        <v>158</v>
      </c>
      <c r="Z5" s="1" t="s">
        <v>112</v>
      </c>
      <c r="AA5" s="11" t="s">
        <v>82</v>
      </c>
      <c r="AC5" s="1" t="s">
        <v>159</v>
      </c>
      <c r="AD5" s="1" t="s">
        <v>112</v>
      </c>
      <c r="AE5" s="11" t="s">
        <v>82</v>
      </c>
    </row>
    <row r="6" spans="1:31" x14ac:dyDescent="0.25">
      <c r="A6" s="1"/>
      <c r="B6" s="1" t="s">
        <v>34</v>
      </c>
      <c r="C6" s="10" t="s">
        <v>78</v>
      </c>
      <c r="E6" s="1"/>
      <c r="F6" s="1" t="s">
        <v>73</v>
      </c>
      <c r="G6" s="10" t="s">
        <v>84</v>
      </c>
      <c r="I6" s="1"/>
      <c r="J6" s="1" t="s">
        <v>93</v>
      </c>
      <c r="K6" s="10" t="s">
        <v>85</v>
      </c>
      <c r="M6" s="1"/>
      <c r="N6" t="s">
        <v>34</v>
      </c>
      <c r="O6" s="10" t="s">
        <v>80</v>
      </c>
      <c r="Q6" s="1"/>
      <c r="R6" s="1" t="s">
        <v>31</v>
      </c>
      <c r="S6" s="10" t="s">
        <v>81</v>
      </c>
      <c r="U6" s="1"/>
      <c r="V6" s="1" t="s">
        <v>17</v>
      </c>
      <c r="W6" s="10" t="s">
        <v>79</v>
      </c>
      <c r="Y6" s="1"/>
      <c r="Z6" s="1" t="s">
        <v>18</v>
      </c>
      <c r="AA6" s="10" t="s">
        <v>79</v>
      </c>
      <c r="AC6" s="1"/>
      <c r="AD6" s="1" t="s">
        <v>71</v>
      </c>
      <c r="AE6" s="10" t="s">
        <v>82</v>
      </c>
    </row>
    <row r="7" spans="1:31" x14ac:dyDescent="0.25">
      <c r="A7" s="8" t="s">
        <v>94</v>
      </c>
      <c r="B7" s="8" t="s">
        <v>69</v>
      </c>
      <c r="C7" s="11" t="s">
        <v>79</v>
      </c>
      <c r="D7" s="16"/>
      <c r="E7" s="8" t="s">
        <v>94</v>
      </c>
      <c r="F7" s="8" t="s">
        <v>74</v>
      </c>
      <c r="G7" s="11" t="s">
        <v>82</v>
      </c>
      <c r="H7" s="16"/>
      <c r="I7" s="8" t="s">
        <v>94</v>
      </c>
      <c r="J7" s="8" t="s">
        <v>31</v>
      </c>
      <c r="K7" s="11" t="s">
        <v>81</v>
      </c>
      <c r="M7" s="1" t="s">
        <v>94</v>
      </c>
      <c r="N7" s="1" t="s">
        <v>31</v>
      </c>
      <c r="O7" s="11" t="s">
        <v>81</v>
      </c>
      <c r="U7" s="1" t="s">
        <v>94</v>
      </c>
      <c r="V7" s="1" t="s">
        <v>31</v>
      </c>
      <c r="W7" s="10" t="s">
        <v>81</v>
      </c>
      <c r="Y7" s="1" t="s">
        <v>94</v>
      </c>
      <c r="Z7" s="1" t="s">
        <v>31</v>
      </c>
      <c r="AA7" s="10" t="s">
        <v>81</v>
      </c>
      <c r="AC7" s="1" t="s">
        <v>94</v>
      </c>
      <c r="AD7" s="1" t="s">
        <v>75</v>
      </c>
      <c r="AE7" s="10" t="s">
        <v>79</v>
      </c>
    </row>
    <row r="8" spans="1:31" x14ac:dyDescent="0.25">
      <c r="A8" s="8" t="s">
        <v>95</v>
      </c>
      <c r="B8" s="8" t="s">
        <v>70</v>
      </c>
      <c r="C8" s="11" t="s">
        <v>80</v>
      </c>
      <c r="D8" s="16"/>
      <c r="E8" s="8" t="s">
        <v>95</v>
      </c>
      <c r="F8" s="8" t="s">
        <v>75</v>
      </c>
      <c r="G8" s="11" t="s">
        <v>42</v>
      </c>
      <c r="H8" s="16"/>
      <c r="I8" s="8" t="s">
        <v>95</v>
      </c>
      <c r="J8" s="8" t="s">
        <v>76</v>
      </c>
      <c r="K8" s="11" t="s">
        <v>81</v>
      </c>
      <c r="AC8" s="1" t="s">
        <v>95</v>
      </c>
      <c r="AD8" s="1" t="s">
        <v>31</v>
      </c>
      <c r="AE8" s="10" t="s">
        <v>81</v>
      </c>
    </row>
    <row r="9" spans="1:31" x14ac:dyDescent="0.25">
      <c r="A9" s="8" t="s">
        <v>96</v>
      </c>
      <c r="B9" s="8" t="s">
        <v>72</v>
      </c>
      <c r="C9" s="11" t="s">
        <v>48</v>
      </c>
      <c r="D9" s="16"/>
      <c r="E9" s="8" t="s">
        <v>96</v>
      </c>
      <c r="F9" s="8" t="s">
        <v>31</v>
      </c>
      <c r="G9" s="11" t="s">
        <v>81</v>
      </c>
      <c r="H9" s="16"/>
      <c r="I9" s="8" t="s">
        <v>96</v>
      </c>
      <c r="J9" s="8" t="s">
        <v>77</v>
      </c>
      <c r="K9" s="11" t="s">
        <v>81</v>
      </c>
    </row>
    <row r="10" spans="1:31" x14ac:dyDescent="0.25">
      <c r="A10" s="8" t="s">
        <v>97</v>
      </c>
      <c r="B10" s="8" t="s">
        <v>44</v>
      </c>
      <c r="C10" s="11" t="s">
        <v>144</v>
      </c>
      <c r="D10" s="16"/>
      <c r="E10" s="8" t="s">
        <v>97</v>
      </c>
      <c r="F10" s="8" t="s">
        <v>76</v>
      </c>
      <c r="G10" s="11" t="s">
        <v>81</v>
      </c>
      <c r="H10" s="16"/>
      <c r="I10" s="8" t="s">
        <v>97</v>
      </c>
      <c r="J10" s="8" t="s">
        <v>113</v>
      </c>
      <c r="K10" s="11" t="s">
        <v>28</v>
      </c>
      <c r="M10" s="22" t="s">
        <v>141</v>
      </c>
      <c r="N10" s="22"/>
      <c r="O10" s="22"/>
    </row>
    <row r="11" spans="1:31" x14ac:dyDescent="0.25">
      <c r="A11" s="8" t="s">
        <v>98</v>
      </c>
      <c r="B11" s="8" t="s">
        <v>143</v>
      </c>
      <c r="C11" s="8" t="s">
        <v>28</v>
      </c>
      <c r="D11" s="16"/>
      <c r="E11" s="8" t="s">
        <v>98</v>
      </c>
      <c r="F11" s="8" t="s">
        <v>77</v>
      </c>
      <c r="G11" s="11" t="s">
        <v>81</v>
      </c>
      <c r="H11" s="16"/>
      <c r="I11" s="8" t="s">
        <v>98</v>
      </c>
      <c r="J11" s="8" t="s">
        <v>108</v>
      </c>
      <c r="K11" s="11" t="s">
        <v>28</v>
      </c>
      <c r="M11" s="1" t="s">
        <v>147</v>
      </c>
      <c r="N11" s="1" t="s">
        <v>30</v>
      </c>
      <c r="O11" s="10" t="s">
        <v>83</v>
      </c>
    </row>
    <row r="12" spans="1:31" x14ac:dyDescent="0.25">
      <c r="A12" s="8" t="s">
        <v>99</v>
      </c>
      <c r="B12" s="8" t="s">
        <v>22</v>
      </c>
      <c r="C12" s="11" t="s">
        <v>48</v>
      </c>
      <c r="D12" s="16"/>
      <c r="E12" s="8" t="s">
        <v>99</v>
      </c>
      <c r="F12" s="8" t="s">
        <v>113</v>
      </c>
      <c r="G12" s="11" t="s">
        <v>28</v>
      </c>
      <c r="H12" s="16"/>
      <c r="I12" s="8" t="s">
        <v>99</v>
      </c>
      <c r="J12" s="8" t="s">
        <v>114</v>
      </c>
      <c r="K12" s="11" t="s">
        <v>28</v>
      </c>
      <c r="M12" s="1" t="s">
        <v>160</v>
      </c>
      <c r="N12" s="1" t="s">
        <v>39</v>
      </c>
      <c r="O12" s="1" t="s">
        <v>40</v>
      </c>
      <c r="R12" s="9"/>
    </row>
    <row r="13" spans="1:31" x14ac:dyDescent="0.25">
      <c r="A13" s="8" t="s">
        <v>100</v>
      </c>
      <c r="B13" s="8" t="s">
        <v>23</v>
      </c>
      <c r="C13" s="11" t="s">
        <v>81</v>
      </c>
      <c r="D13" s="16"/>
      <c r="E13" s="8" t="s">
        <v>100</v>
      </c>
      <c r="F13" s="8" t="s">
        <v>108</v>
      </c>
      <c r="G13" s="11" t="s">
        <v>28</v>
      </c>
      <c r="H13" s="16"/>
      <c r="I13" s="8" t="s">
        <v>100</v>
      </c>
      <c r="J13" s="8" t="s">
        <v>124</v>
      </c>
      <c r="K13" s="11" t="s">
        <v>28</v>
      </c>
      <c r="M13" s="1"/>
      <c r="N13" s="1" t="s">
        <v>37</v>
      </c>
      <c r="O13" s="1" t="s">
        <v>40</v>
      </c>
    </row>
    <row r="14" spans="1:31" x14ac:dyDescent="0.25">
      <c r="A14" s="8" t="s">
        <v>101</v>
      </c>
      <c r="B14" s="8" t="s">
        <v>68</v>
      </c>
      <c r="C14" s="11" t="s">
        <v>81</v>
      </c>
      <c r="D14" s="16"/>
      <c r="E14" s="8" t="s">
        <v>101</v>
      </c>
      <c r="F14" s="8" t="s">
        <v>114</v>
      </c>
      <c r="G14" s="11" t="s">
        <v>28</v>
      </c>
      <c r="H14" s="16"/>
      <c r="I14" s="8" t="s">
        <v>101</v>
      </c>
      <c r="J14" s="8" t="s">
        <v>140</v>
      </c>
      <c r="K14" s="11" t="s">
        <v>28</v>
      </c>
      <c r="M14" s="1" t="s">
        <v>94</v>
      </c>
      <c r="N14" s="1" t="s">
        <v>38</v>
      </c>
      <c r="O14" s="1" t="s">
        <v>41</v>
      </c>
    </row>
    <row r="15" spans="1:31" x14ac:dyDescent="0.25">
      <c r="A15" s="8" t="s">
        <v>102</v>
      </c>
      <c r="B15" s="8" t="s">
        <v>31</v>
      </c>
      <c r="C15" s="11" t="s">
        <v>81</v>
      </c>
      <c r="D15" s="16"/>
      <c r="E15" s="8" t="s">
        <v>102</v>
      </c>
      <c r="F15" s="8" t="s">
        <v>124</v>
      </c>
      <c r="G15" s="11" t="s">
        <v>28</v>
      </c>
      <c r="H15" s="16"/>
      <c r="I15" s="8" t="s">
        <v>102</v>
      </c>
      <c r="J15" s="8" t="s">
        <v>118</v>
      </c>
      <c r="K15" s="11" t="s">
        <v>82</v>
      </c>
      <c r="M15" s="1"/>
      <c r="N15" s="1"/>
      <c r="O15" s="1"/>
    </row>
    <row r="16" spans="1:31" x14ac:dyDescent="0.25">
      <c r="A16" s="16"/>
      <c r="B16" s="16"/>
      <c r="C16" s="16"/>
      <c r="D16" s="16"/>
      <c r="E16" s="8" t="s">
        <v>103</v>
      </c>
      <c r="F16" s="8" t="s">
        <v>118</v>
      </c>
      <c r="G16" s="11" t="s">
        <v>82</v>
      </c>
      <c r="H16" s="16"/>
      <c r="I16" s="8" t="s">
        <v>103</v>
      </c>
      <c r="J16" s="8" t="s">
        <v>88</v>
      </c>
      <c r="K16" s="11" t="s">
        <v>82</v>
      </c>
    </row>
    <row r="17" spans="1:11" x14ac:dyDescent="0.25">
      <c r="A17" s="16"/>
      <c r="B17" s="16"/>
      <c r="C17" s="16"/>
      <c r="D17" s="16"/>
      <c r="E17" s="8" t="s">
        <v>104</v>
      </c>
      <c r="F17" s="8" t="s">
        <v>88</v>
      </c>
      <c r="G17" s="11" t="s">
        <v>82</v>
      </c>
      <c r="H17" s="16"/>
      <c r="I17" s="8" t="s">
        <v>104</v>
      </c>
      <c r="J17" s="8" t="s">
        <v>91</v>
      </c>
      <c r="K17" s="11" t="s">
        <v>82</v>
      </c>
    </row>
    <row r="18" spans="1:11" x14ac:dyDescent="0.25">
      <c r="A18" s="16"/>
      <c r="B18" s="16"/>
      <c r="C18" s="16"/>
      <c r="D18" s="16"/>
      <c r="E18" s="8" t="s">
        <v>105</v>
      </c>
      <c r="F18" s="8" t="s">
        <v>91</v>
      </c>
      <c r="G18" s="11" t="s">
        <v>82</v>
      </c>
      <c r="H18" s="16"/>
      <c r="I18" s="8" t="s">
        <v>105</v>
      </c>
      <c r="J18" s="8" t="s">
        <v>125</v>
      </c>
      <c r="K18" s="11" t="s">
        <v>82</v>
      </c>
    </row>
    <row r="19" spans="1:11" x14ac:dyDescent="0.25">
      <c r="A19" s="16"/>
      <c r="B19" s="16"/>
      <c r="C19" s="16"/>
      <c r="D19" s="16"/>
      <c r="E19" s="8" t="s">
        <v>120</v>
      </c>
      <c r="F19" s="8" t="s">
        <v>125</v>
      </c>
      <c r="G19" s="11" t="s">
        <v>82</v>
      </c>
      <c r="H19" s="16"/>
      <c r="I19" s="8" t="s">
        <v>120</v>
      </c>
      <c r="J19" s="8" t="s">
        <v>112</v>
      </c>
      <c r="K19" s="11" t="s">
        <v>82</v>
      </c>
    </row>
    <row r="20" spans="1:11" x14ac:dyDescent="0.25">
      <c r="A20" s="16"/>
      <c r="B20" s="16"/>
      <c r="C20" s="16"/>
      <c r="D20" s="16"/>
      <c r="E20" s="8" t="s">
        <v>121</v>
      </c>
      <c r="F20" s="8" t="s">
        <v>92</v>
      </c>
      <c r="G20" s="11" t="s">
        <v>82</v>
      </c>
      <c r="H20" s="16"/>
      <c r="I20" s="8" t="s">
        <v>121</v>
      </c>
      <c r="J20" s="8" t="s">
        <v>89</v>
      </c>
      <c r="K20" s="11" t="s">
        <v>82</v>
      </c>
    </row>
    <row r="21" spans="1:11" x14ac:dyDescent="0.25">
      <c r="A21" s="16"/>
      <c r="B21" s="16"/>
      <c r="C21" s="16"/>
      <c r="D21" s="16"/>
      <c r="E21" s="8" t="s">
        <v>122</v>
      </c>
      <c r="F21" s="8" t="s">
        <v>54</v>
      </c>
      <c r="G21" s="11" t="s">
        <v>82</v>
      </c>
      <c r="H21" s="16"/>
      <c r="I21" s="8" t="s">
        <v>122</v>
      </c>
      <c r="J21" s="8" t="s">
        <v>90</v>
      </c>
      <c r="K21" s="11" t="s">
        <v>82</v>
      </c>
    </row>
    <row r="22" spans="1:11" x14ac:dyDescent="0.25">
      <c r="A22" s="16"/>
      <c r="B22" s="16"/>
      <c r="C22" s="16"/>
      <c r="D22" s="16"/>
      <c r="E22" s="8" t="s">
        <v>123</v>
      </c>
      <c r="F22" s="8" t="s">
        <v>87</v>
      </c>
      <c r="G22" s="11" t="s">
        <v>81</v>
      </c>
      <c r="H22" s="16"/>
      <c r="I22" s="8" t="s">
        <v>123</v>
      </c>
      <c r="J22" s="8" t="s">
        <v>92</v>
      </c>
      <c r="K22" s="11" t="s">
        <v>82</v>
      </c>
    </row>
    <row r="23" spans="1:11" x14ac:dyDescent="0.25">
      <c r="A23" s="16"/>
      <c r="B23" s="16"/>
      <c r="C23" s="16"/>
      <c r="D23" s="16"/>
      <c r="E23" s="8" t="s">
        <v>129</v>
      </c>
      <c r="F23" s="8" t="s">
        <v>86</v>
      </c>
      <c r="G23" s="11" t="s">
        <v>82</v>
      </c>
      <c r="H23" s="16"/>
      <c r="I23" s="8" t="s">
        <v>129</v>
      </c>
      <c r="J23" s="8" t="s">
        <v>87</v>
      </c>
      <c r="K23" s="11" t="s">
        <v>81</v>
      </c>
    </row>
    <row r="24" spans="1:11" x14ac:dyDescent="0.25">
      <c r="A24" s="16"/>
      <c r="B24" s="16"/>
      <c r="C24" s="16"/>
      <c r="D24" s="16"/>
      <c r="E24" s="8" t="s">
        <v>130</v>
      </c>
      <c r="F24" s="8" t="s">
        <v>33</v>
      </c>
      <c r="G24" s="11" t="s">
        <v>82</v>
      </c>
      <c r="H24" s="16"/>
      <c r="I24" s="8" t="s">
        <v>130</v>
      </c>
      <c r="J24" s="8" t="s">
        <v>86</v>
      </c>
      <c r="K24" s="11" t="s">
        <v>82</v>
      </c>
    </row>
    <row r="25" spans="1:11" x14ac:dyDescent="0.25">
      <c r="A25" s="16"/>
      <c r="B25" s="16"/>
      <c r="C25" s="16"/>
      <c r="D25" s="16"/>
      <c r="E25" s="8"/>
      <c r="F25" s="8"/>
      <c r="G25" s="11"/>
      <c r="H25" s="16"/>
      <c r="I25" s="8" t="s">
        <v>146</v>
      </c>
      <c r="J25" s="8" t="s">
        <v>33</v>
      </c>
      <c r="K25" s="11" t="s">
        <v>82</v>
      </c>
    </row>
    <row r="26" spans="1:11" x14ac:dyDescent="0.25">
      <c r="E26" s="3"/>
      <c r="F26" s="3"/>
      <c r="G26" s="12"/>
      <c r="I26" s="3"/>
      <c r="J26" s="3"/>
      <c r="K26" s="12"/>
    </row>
    <row r="27" spans="1:11" s="16" customFormat="1" x14ac:dyDescent="0.25">
      <c r="E27" s="22" t="s">
        <v>25</v>
      </c>
      <c r="F27" s="22"/>
      <c r="G27" s="22"/>
      <c r="I27" s="22" t="s">
        <v>26</v>
      </c>
      <c r="J27" s="22"/>
      <c r="K27" s="22"/>
    </row>
    <row r="28" spans="1:11" x14ac:dyDescent="0.25">
      <c r="E28" s="1" t="s">
        <v>161</v>
      </c>
      <c r="F28" s="1" t="s">
        <v>30</v>
      </c>
      <c r="G28" s="10" t="s">
        <v>83</v>
      </c>
      <c r="I28" s="1" t="s">
        <v>163</v>
      </c>
      <c r="J28" s="1" t="s">
        <v>30</v>
      </c>
      <c r="K28" s="10" t="s">
        <v>83</v>
      </c>
    </row>
    <row r="29" spans="1:11" x14ac:dyDescent="0.25">
      <c r="E29" s="1" t="s">
        <v>162</v>
      </c>
      <c r="F29" s="1" t="s">
        <v>51</v>
      </c>
      <c r="G29" s="10" t="s">
        <v>82</v>
      </c>
      <c r="I29" s="1" t="s">
        <v>164</v>
      </c>
      <c r="J29" s="1" t="s">
        <v>54</v>
      </c>
      <c r="K29" s="10" t="s">
        <v>82</v>
      </c>
    </row>
    <row r="30" spans="1:11" x14ac:dyDescent="0.25">
      <c r="E30" s="1"/>
      <c r="F30" s="1" t="s">
        <v>142</v>
      </c>
      <c r="G30" s="10" t="s">
        <v>82</v>
      </c>
      <c r="I30" s="1"/>
      <c r="J30" s="1" t="s">
        <v>142</v>
      </c>
      <c r="K30" s="10" t="s">
        <v>82</v>
      </c>
    </row>
    <row r="31" spans="1:11" x14ac:dyDescent="0.25">
      <c r="E31" s="1" t="s">
        <v>94</v>
      </c>
      <c r="F31" s="1" t="s">
        <v>52</v>
      </c>
      <c r="G31" s="10" t="s">
        <v>27</v>
      </c>
      <c r="I31" s="1" t="s">
        <v>94</v>
      </c>
      <c r="J31" s="1" t="s">
        <v>52</v>
      </c>
      <c r="K31" s="10" t="s">
        <v>27</v>
      </c>
    </row>
    <row r="32" spans="1:11" x14ac:dyDescent="0.25">
      <c r="E32" s="1" t="s">
        <v>95</v>
      </c>
      <c r="F32" s="1" t="s">
        <v>33</v>
      </c>
      <c r="G32" s="10" t="s">
        <v>82</v>
      </c>
      <c r="I32" s="1" t="s">
        <v>95</v>
      </c>
      <c r="J32" s="1" t="s">
        <v>33</v>
      </c>
      <c r="K32" s="10" t="s">
        <v>82</v>
      </c>
    </row>
    <row r="33" spans="1:11" x14ac:dyDescent="0.25">
      <c r="E33" s="1" t="s">
        <v>96</v>
      </c>
      <c r="F33" s="1" t="s">
        <v>32</v>
      </c>
      <c r="G33" s="10" t="s">
        <v>28</v>
      </c>
      <c r="I33" s="1" t="s">
        <v>96</v>
      </c>
      <c r="J33" s="1" t="s">
        <v>32</v>
      </c>
      <c r="K33" s="10" t="s">
        <v>28</v>
      </c>
    </row>
    <row r="34" spans="1:11" x14ac:dyDescent="0.25">
      <c r="E34" s="1" t="s">
        <v>97</v>
      </c>
      <c r="F34" s="1" t="s">
        <v>31</v>
      </c>
      <c r="G34" s="10" t="s">
        <v>81</v>
      </c>
      <c r="I34" s="1" t="s">
        <v>97</v>
      </c>
      <c r="J34" s="1" t="s">
        <v>31</v>
      </c>
      <c r="K34" s="10" t="s">
        <v>81</v>
      </c>
    </row>
    <row r="36" spans="1:11" s="16" customFormat="1" x14ac:dyDescent="0.25">
      <c r="A36" s="28" t="s">
        <v>12</v>
      </c>
      <c r="B36" s="28"/>
      <c r="C36" s="28"/>
      <c r="E36" s="22" t="s">
        <v>10</v>
      </c>
      <c r="F36" s="22"/>
      <c r="G36" s="22"/>
      <c r="I36" s="22" t="s">
        <v>11</v>
      </c>
      <c r="J36" s="22"/>
      <c r="K36" s="22"/>
    </row>
    <row r="37" spans="1:11" x14ac:dyDescent="0.25">
      <c r="A37" s="1"/>
      <c r="B37" s="1" t="s">
        <v>30</v>
      </c>
      <c r="C37" s="10" t="s">
        <v>83</v>
      </c>
      <c r="E37" s="1" t="s">
        <v>135</v>
      </c>
      <c r="F37" s="1" t="s">
        <v>30</v>
      </c>
      <c r="G37" s="10" t="s">
        <v>83</v>
      </c>
      <c r="I37" s="1" t="s">
        <v>136</v>
      </c>
      <c r="J37" s="1" t="s">
        <v>30</v>
      </c>
      <c r="K37" s="10" t="s">
        <v>83</v>
      </c>
    </row>
    <row r="38" spans="1:11" x14ac:dyDescent="0.25">
      <c r="A38" s="1"/>
      <c r="B38" s="1" t="s">
        <v>33</v>
      </c>
      <c r="C38" s="10" t="s">
        <v>82</v>
      </c>
      <c r="E38" s="1" t="s">
        <v>165</v>
      </c>
      <c r="F38" s="1" t="s">
        <v>51</v>
      </c>
      <c r="G38" s="10" t="s">
        <v>82</v>
      </c>
      <c r="I38" s="1" t="s">
        <v>166</v>
      </c>
      <c r="J38" s="1" t="s">
        <v>54</v>
      </c>
      <c r="K38" s="10" t="s">
        <v>82</v>
      </c>
    </row>
    <row r="39" spans="1:11" x14ac:dyDescent="0.25">
      <c r="A39" s="1"/>
      <c r="B39" s="1" t="s">
        <v>34</v>
      </c>
      <c r="C39" s="10" t="s">
        <v>24</v>
      </c>
      <c r="E39" s="1"/>
      <c r="F39" s="1" t="s">
        <v>34</v>
      </c>
      <c r="G39" s="10" t="s">
        <v>24</v>
      </c>
      <c r="I39" s="1"/>
      <c r="J39" s="1" t="s">
        <v>34</v>
      </c>
      <c r="K39" s="10" t="s">
        <v>24</v>
      </c>
    </row>
    <row r="40" spans="1:11" x14ac:dyDescent="0.25">
      <c r="A40" s="1" t="s">
        <v>94</v>
      </c>
      <c r="B40" s="1" t="s">
        <v>35</v>
      </c>
      <c r="C40" s="10" t="s">
        <v>82</v>
      </c>
      <c r="E40" s="1" t="s">
        <v>94</v>
      </c>
      <c r="F40" s="1" t="s">
        <v>35</v>
      </c>
      <c r="G40" s="10" t="s">
        <v>82</v>
      </c>
      <c r="I40" s="1" t="s">
        <v>94</v>
      </c>
      <c r="J40" s="1" t="s">
        <v>35</v>
      </c>
      <c r="K40" s="10" t="s">
        <v>82</v>
      </c>
    </row>
    <row r="41" spans="1:11" x14ac:dyDescent="0.25">
      <c r="A41" s="1" t="s">
        <v>95</v>
      </c>
      <c r="B41" s="1" t="s">
        <v>32</v>
      </c>
      <c r="C41" s="10" t="s">
        <v>28</v>
      </c>
      <c r="E41" s="1" t="s">
        <v>95</v>
      </c>
      <c r="F41" s="1" t="s">
        <v>33</v>
      </c>
      <c r="G41" s="10" t="s">
        <v>82</v>
      </c>
      <c r="I41" s="1" t="s">
        <v>95</v>
      </c>
      <c r="J41" s="1" t="s">
        <v>33</v>
      </c>
      <c r="K41" s="10" t="s">
        <v>82</v>
      </c>
    </row>
    <row r="42" spans="1:11" x14ac:dyDescent="0.25">
      <c r="A42" s="1"/>
      <c r="B42" s="1" t="s">
        <v>31</v>
      </c>
      <c r="C42" s="10" t="s">
        <v>81</v>
      </c>
      <c r="E42" s="1" t="s">
        <v>96</v>
      </c>
      <c r="F42" s="1" t="s">
        <v>32</v>
      </c>
      <c r="G42" s="10" t="s">
        <v>28</v>
      </c>
      <c r="I42" s="1" t="s">
        <v>96</v>
      </c>
      <c r="J42" s="1" t="s">
        <v>32</v>
      </c>
      <c r="K42" s="10" t="s">
        <v>28</v>
      </c>
    </row>
    <row r="43" spans="1:11" x14ac:dyDescent="0.25">
      <c r="A43" s="3"/>
      <c r="B43" s="3"/>
      <c r="C43" s="12"/>
      <c r="E43" s="1" t="s">
        <v>97</v>
      </c>
      <c r="F43" s="1" t="s">
        <v>31</v>
      </c>
      <c r="G43" s="10" t="s">
        <v>81</v>
      </c>
      <c r="I43" s="1" t="s">
        <v>97</v>
      </c>
      <c r="J43" s="1" t="s">
        <v>31</v>
      </c>
      <c r="K43" s="10" t="s">
        <v>81</v>
      </c>
    </row>
    <row r="45" spans="1:11" x14ac:dyDescent="0.25">
      <c r="A45" s="28" t="s">
        <v>5</v>
      </c>
      <c r="B45" s="28"/>
      <c r="C45" s="28"/>
      <c r="E45" s="28" t="s">
        <v>2</v>
      </c>
      <c r="F45" s="28"/>
      <c r="G45" s="28"/>
      <c r="I45" s="28" t="s">
        <v>4</v>
      </c>
      <c r="J45" s="28"/>
      <c r="K45" s="28"/>
    </row>
    <row r="46" spans="1:11" x14ac:dyDescent="0.25">
      <c r="A46" s="1"/>
      <c r="B46" s="1" t="s">
        <v>30</v>
      </c>
      <c r="C46" s="10" t="s">
        <v>83</v>
      </c>
      <c r="E46" s="1"/>
      <c r="F46" s="1" t="s">
        <v>30</v>
      </c>
      <c r="G46" s="10" t="s">
        <v>83</v>
      </c>
      <c r="I46" s="1"/>
      <c r="J46" s="1" t="s">
        <v>30</v>
      </c>
      <c r="K46" s="10" t="s">
        <v>83</v>
      </c>
    </row>
    <row r="47" spans="1:11" x14ac:dyDescent="0.25">
      <c r="A47" s="13"/>
      <c r="B47" s="1" t="s">
        <v>119</v>
      </c>
      <c r="C47" s="10" t="s">
        <v>82</v>
      </c>
      <c r="E47" s="1"/>
      <c r="F47" s="1" t="s">
        <v>51</v>
      </c>
      <c r="G47" s="10" t="s">
        <v>82</v>
      </c>
      <c r="I47" s="1"/>
      <c r="J47" s="1" t="s">
        <v>117</v>
      </c>
      <c r="K47" s="10" t="s">
        <v>82</v>
      </c>
    </row>
    <row r="48" spans="1:11" x14ac:dyDescent="0.25">
      <c r="A48" s="1"/>
      <c r="B48" s="1" t="s">
        <v>33</v>
      </c>
      <c r="C48" s="10" t="s">
        <v>82</v>
      </c>
      <c r="E48" s="1"/>
      <c r="F48" s="1" t="s">
        <v>33</v>
      </c>
      <c r="G48" s="10" t="s">
        <v>82</v>
      </c>
      <c r="I48" s="1"/>
      <c r="J48" s="1" t="s">
        <v>33</v>
      </c>
      <c r="K48" s="10" t="s">
        <v>82</v>
      </c>
    </row>
    <row r="49" spans="1:11" x14ac:dyDescent="0.25">
      <c r="A49" s="1"/>
      <c r="B49" s="1" t="s">
        <v>32</v>
      </c>
      <c r="C49" s="10" t="s">
        <v>28</v>
      </c>
      <c r="E49" s="1"/>
      <c r="F49" s="1" t="s">
        <v>32</v>
      </c>
      <c r="G49" s="10" t="s">
        <v>28</v>
      </c>
      <c r="I49" s="1"/>
      <c r="J49" s="1" t="s">
        <v>32</v>
      </c>
      <c r="K49" s="10" t="s">
        <v>28</v>
      </c>
    </row>
    <row r="50" spans="1:11" x14ac:dyDescent="0.25">
      <c r="A50" s="1"/>
      <c r="B50" s="1" t="s">
        <v>75</v>
      </c>
      <c r="C50" s="11" t="s">
        <v>126</v>
      </c>
      <c r="E50" s="1"/>
      <c r="F50" s="1" t="s">
        <v>75</v>
      </c>
      <c r="G50" s="11" t="s">
        <v>126</v>
      </c>
      <c r="I50" s="1"/>
      <c r="J50" s="1" t="s">
        <v>75</v>
      </c>
      <c r="K50" s="11" t="s">
        <v>126</v>
      </c>
    </row>
    <row r="51" spans="1:11" x14ac:dyDescent="0.25">
      <c r="E51" s="1"/>
      <c r="F51" s="8"/>
      <c r="G51" s="11"/>
      <c r="I51" s="1"/>
      <c r="J51" s="8"/>
      <c r="K51" s="11"/>
    </row>
    <row r="52" spans="1:11" s="16" customFormat="1" x14ac:dyDescent="0.25">
      <c r="A52" s="22" t="s">
        <v>36</v>
      </c>
      <c r="B52" s="22"/>
      <c r="C52" s="22"/>
    </row>
    <row r="53" spans="1:11" x14ac:dyDescent="0.25">
      <c r="A53" s="1" t="s">
        <v>111</v>
      </c>
      <c r="B53" s="1" t="s">
        <v>30</v>
      </c>
      <c r="C53" s="10" t="s">
        <v>83</v>
      </c>
    </row>
    <row r="54" spans="1:11" x14ac:dyDescent="0.25">
      <c r="A54" s="1" t="s">
        <v>167</v>
      </c>
      <c r="B54" s="1" t="s">
        <v>33</v>
      </c>
      <c r="C54" s="1" t="s">
        <v>82</v>
      </c>
    </row>
    <row r="55" spans="1:11" x14ac:dyDescent="0.25">
      <c r="A55" s="1"/>
      <c r="B55" s="1" t="s">
        <v>39</v>
      </c>
      <c r="C55" s="1" t="s">
        <v>40</v>
      </c>
    </row>
    <row r="56" spans="1:11" x14ac:dyDescent="0.25">
      <c r="A56" s="1" t="s">
        <v>94</v>
      </c>
      <c r="B56" s="1" t="s">
        <v>37</v>
      </c>
      <c r="C56" s="1" t="s">
        <v>40</v>
      </c>
    </row>
    <row r="57" spans="1:11" x14ac:dyDescent="0.25">
      <c r="A57" s="1" t="s">
        <v>95</v>
      </c>
      <c r="B57" s="1" t="s">
        <v>38</v>
      </c>
      <c r="C57" s="1" t="s">
        <v>41</v>
      </c>
    </row>
    <row r="59" spans="1:11" s="16" customFormat="1" x14ac:dyDescent="0.25">
      <c r="A59" s="22"/>
      <c r="B59" s="22"/>
      <c r="C59" s="22"/>
      <c r="E59" s="22" t="s">
        <v>110</v>
      </c>
      <c r="F59" s="22"/>
      <c r="G59" s="22"/>
      <c r="I59" s="22" t="s">
        <v>109</v>
      </c>
      <c r="J59" s="22"/>
      <c r="K59" s="22"/>
    </row>
    <row r="60" spans="1:11" x14ac:dyDescent="0.25">
      <c r="A60" s="1"/>
      <c r="B60" s="1"/>
      <c r="C60" s="10"/>
      <c r="E60" s="1" t="s">
        <v>137</v>
      </c>
      <c r="F60" s="1" t="s">
        <v>30</v>
      </c>
      <c r="G60" s="10" t="s">
        <v>19</v>
      </c>
      <c r="I60" s="1" t="s">
        <v>138</v>
      </c>
      <c r="J60" s="1" t="s">
        <v>30</v>
      </c>
      <c r="K60" s="10" t="s">
        <v>19</v>
      </c>
    </row>
    <row r="61" spans="1:11" x14ac:dyDescent="0.25">
      <c r="A61" s="1"/>
      <c r="B61" s="1"/>
      <c r="C61" s="1"/>
      <c r="E61" s="1" t="s">
        <v>168</v>
      </c>
      <c r="F61" s="1" t="s">
        <v>32</v>
      </c>
      <c r="G61" s="1" t="s">
        <v>28</v>
      </c>
      <c r="I61" s="1" t="s">
        <v>169</v>
      </c>
      <c r="J61" s="1" t="s">
        <v>32</v>
      </c>
      <c r="K61" s="1" t="s">
        <v>28</v>
      </c>
    </row>
    <row r="62" spans="1:11" x14ac:dyDescent="0.25">
      <c r="A62" s="1"/>
      <c r="B62" s="1"/>
      <c r="C62" s="1"/>
      <c r="E62" s="1"/>
      <c r="F62" s="1" t="s">
        <v>37</v>
      </c>
      <c r="G62" s="10" t="s">
        <v>29</v>
      </c>
      <c r="I62" s="1"/>
      <c r="J62" s="1" t="s">
        <v>37</v>
      </c>
      <c r="K62" s="10" t="s">
        <v>29</v>
      </c>
    </row>
    <row r="63" spans="1:11" x14ac:dyDescent="0.25">
      <c r="A63" s="1"/>
      <c r="B63" s="1"/>
      <c r="C63" s="1"/>
      <c r="E63" s="1" t="s">
        <v>94</v>
      </c>
      <c r="F63" s="1" t="s">
        <v>51</v>
      </c>
      <c r="G63" s="10" t="s">
        <v>29</v>
      </c>
      <c r="I63" s="1" t="s">
        <v>94</v>
      </c>
      <c r="J63" s="1" t="s">
        <v>54</v>
      </c>
      <c r="K63" s="10" t="s">
        <v>29</v>
      </c>
    </row>
    <row r="64" spans="1:11" x14ac:dyDescent="0.25">
      <c r="A64" s="1"/>
      <c r="B64" s="1"/>
      <c r="C64" s="1"/>
      <c r="E64" s="1" t="s">
        <v>95</v>
      </c>
      <c r="F64" s="1" t="s">
        <v>33</v>
      </c>
      <c r="G64" s="10" t="s">
        <v>29</v>
      </c>
      <c r="I64" s="1" t="s">
        <v>95</v>
      </c>
      <c r="J64" s="1" t="s">
        <v>33</v>
      </c>
      <c r="K64" s="10" t="s">
        <v>29</v>
      </c>
    </row>
    <row r="65" spans="5:11" x14ac:dyDescent="0.25">
      <c r="E65" s="1" t="s">
        <v>96</v>
      </c>
      <c r="F65" s="1" t="s">
        <v>31</v>
      </c>
      <c r="G65" s="10" t="s">
        <v>49</v>
      </c>
      <c r="I65" s="1" t="s">
        <v>96</v>
      </c>
      <c r="J65" s="1" t="s">
        <v>31</v>
      </c>
      <c r="K65" s="10" t="s">
        <v>49</v>
      </c>
    </row>
    <row r="67" spans="5:11" x14ac:dyDescent="0.25">
      <c r="E67" s="22" t="s">
        <v>127</v>
      </c>
      <c r="F67" s="22"/>
      <c r="G67" s="22"/>
      <c r="I67" s="22" t="s">
        <v>128</v>
      </c>
      <c r="J67" s="22"/>
      <c r="K67" s="22"/>
    </row>
    <row r="68" spans="5:11" x14ac:dyDescent="0.25">
      <c r="E68" s="1" t="s">
        <v>148</v>
      </c>
      <c r="F68" s="1" t="s">
        <v>30</v>
      </c>
      <c r="G68" s="10" t="s">
        <v>19</v>
      </c>
      <c r="I68" s="1" t="s">
        <v>149</v>
      </c>
      <c r="J68" s="1" t="s">
        <v>30</v>
      </c>
      <c r="K68" s="10" t="s">
        <v>19</v>
      </c>
    </row>
    <row r="69" spans="5:11" x14ac:dyDescent="0.25">
      <c r="E69" s="1" t="s">
        <v>170</v>
      </c>
      <c r="F69" s="1" t="s">
        <v>51</v>
      </c>
      <c r="G69" s="10" t="s">
        <v>29</v>
      </c>
      <c r="I69" s="1" t="s">
        <v>171</v>
      </c>
      <c r="J69" s="1" t="s">
        <v>54</v>
      </c>
      <c r="K69" s="10" t="s">
        <v>29</v>
      </c>
    </row>
    <row r="70" spans="5:11" x14ac:dyDescent="0.25">
      <c r="E70" s="1"/>
      <c r="F70" s="1" t="s">
        <v>33</v>
      </c>
      <c r="G70" s="10" t="s">
        <v>29</v>
      </c>
      <c r="I70" s="1"/>
      <c r="J70" s="1" t="s">
        <v>33</v>
      </c>
      <c r="K70" s="10" t="s">
        <v>29</v>
      </c>
    </row>
    <row r="71" spans="5:11" x14ac:dyDescent="0.25">
      <c r="E71" s="1" t="s">
        <v>94</v>
      </c>
      <c r="F71" s="1" t="s">
        <v>31</v>
      </c>
      <c r="G71" s="10" t="s">
        <v>49</v>
      </c>
      <c r="I71" s="1" t="s">
        <v>94</v>
      </c>
      <c r="J71" s="1" t="s">
        <v>31</v>
      </c>
      <c r="K71" s="10" t="s">
        <v>49</v>
      </c>
    </row>
    <row r="72" spans="5:11" x14ac:dyDescent="0.25">
      <c r="E72" s="3"/>
      <c r="I72" s="3"/>
    </row>
  </sheetData>
  <mergeCells count="23">
    <mergeCell ref="A52:C52"/>
    <mergeCell ref="E45:G45"/>
    <mergeCell ref="A45:C45"/>
    <mergeCell ref="I45:K45"/>
    <mergeCell ref="E67:G67"/>
    <mergeCell ref="I67:K67"/>
    <mergeCell ref="I59:K59"/>
    <mergeCell ref="E59:G59"/>
    <mergeCell ref="A59:C59"/>
    <mergeCell ref="AC3:AE3"/>
    <mergeCell ref="Y3:AA3"/>
    <mergeCell ref="E36:G36"/>
    <mergeCell ref="I36:K36"/>
    <mergeCell ref="A36:C36"/>
    <mergeCell ref="U3:W3"/>
    <mergeCell ref="A3:C3"/>
    <mergeCell ref="E3:G3"/>
    <mergeCell ref="I3:K3"/>
    <mergeCell ref="Q3:S3"/>
    <mergeCell ref="E27:G27"/>
    <mergeCell ref="M3:O3"/>
    <mergeCell ref="I27:K27"/>
    <mergeCell ref="M10:O10"/>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F21" sqref="F21"/>
    </sheetView>
  </sheetViews>
  <sheetFormatPr baseColWidth="10" defaultRowHeight="15" x14ac:dyDescent="0.25"/>
  <sheetData>
    <row r="2" spans="1:23" x14ac:dyDescent="0.25">
      <c r="A2" s="24" t="s">
        <v>60</v>
      </c>
      <c r="B2" s="24"/>
      <c r="C2" s="24"/>
      <c r="E2" s="24" t="s">
        <v>61</v>
      </c>
      <c r="F2" s="24"/>
      <c r="G2" s="24"/>
      <c r="I2" s="24" t="s">
        <v>62</v>
      </c>
      <c r="J2" s="24"/>
      <c r="K2" s="24"/>
      <c r="M2" s="24" t="s">
        <v>63</v>
      </c>
      <c r="N2" s="24"/>
      <c r="O2" s="24"/>
      <c r="Q2" s="24" t="s">
        <v>64</v>
      </c>
      <c r="R2" s="24"/>
      <c r="S2" s="24"/>
      <c r="U2" s="24" t="s">
        <v>65</v>
      </c>
      <c r="V2" s="24"/>
      <c r="W2" s="24"/>
    </row>
    <row r="3" spans="1:23" x14ac:dyDescent="0.25">
      <c r="A3" s="1"/>
      <c r="B3" s="1" t="s">
        <v>30</v>
      </c>
      <c r="C3" s="10" t="s">
        <v>19</v>
      </c>
      <c r="E3" s="1"/>
      <c r="F3" s="1" t="s">
        <v>30</v>
      </c>
      <c r="G3" s="10" t="s">
        <v>19</v>
      </c>
      <c r="I3" s="1"/>
      <c r="J3" s="1" t="s">
        <v>30</v>
      </c>
      <c r="K3" s="10" t="s">
        <v>19</v>
      </c>
      <c r="M3" s="1"/>
      <c r="N3" s="1" t="s">
        <v>30</v>
      </c>
      <c r="O3" s="10" t="s">
        <v>19</v>
      </c>
      <c r="Q3" s="1"/>
      <c r="R3" s="1" t="s">
        <v>30</v>
      </c>
      <c r="S3" s="10" t="s">
        <v>19</v>
      </c>
      <c r="U3" s="1"/>
      <c r="V3" s="1" t="s">
        <v>30</v>
      </c>
      <c r="W3" s="10" t="s">
        <v>19</v>
      </c>
    </row>
    <row r="4" spans="1:23" x14ac:dyDescent="0.25">
      <c r="A4" s="1" t="s">
        <v>58</v>
      </c>
      <c r="B4" s="1" t="s">
        <v>32</v>
      </c>
      <c r="C4" s="1" t="s">
        <v>28</v>
      </c>
      <c r="E4" s="1" t="s">
        <v>59</v>
      </c>
      <c r="F4" s="1" t="s">
        <v>32</v>
      </c>
      <c r="G4" s="1" t="s">
        <v>28</v>
      </c>
      <c r="I4" s="1"/>
      <c r="J4" s="1" t="s">
        <v>32</v>
      </c>
      <c r="K4" s="1" t="s">
        <v>28</v>
      </c>
      <c r="M4" s="1"/>
      <c r="N4" s="1" t="s">
        <v>32</v>
      </c>
      <c r="O4" s="1" t="s">
        <v>28</v>
      </c>
      <c r="Q4" s="1"/>
      <c r="R4" s="1" t="s">
        <v>32</v>
      </c>
      <c r="S4" s="1" t="s">
        <v>28</v>
      </c>
      <c r="U4" s="1"/>
      <c r="V4" s="1" t="s">
        <v>32</v>
      </c>
      <c r="W4" s="1" t="s">
        <v>28</v>
      </c>
    </row>
    <row r="5" spans="1:23" x14ac:dyDescent="0.25">
      <c r="A5" s="1"/>
      <c r="B5" s="1" t="s">
        <v>54</v>
      </c>
      <c r="C5" s="10" t="s">
        <v>29</v>
      </c>
      <c r="E5" s="1"/>
      <c r="F5" s="1" t="s">
        <v>51</v>
      </c>
      <c r="G5" s="10" t="s">
        <v>29</v>
      </c>
      <c r="I5" s="1"/>
      <c r="J5" s="1" t="s">
        <v>55</v>
      </c>
      <c r="K5" s="10" t="s">
        <v>29</v>
      </c>
      <c r="M5" s="1"/>
      <c r="N5" s="1" t="s">
        <v>56</v>
      </c>
      <c r="O5" s="10" t="s">
        <v>29</v>
      </c>
      <c r="Q5" s="1"/>
      <c r="R5" s="1" t="s">
        <v>55</v>
      </c>
      <c r="S5" s="10" t="s">
        <v>29</v>
      </c>
      <c r="U5" s="1"/>
      <c r="V5" s="1" t="s">
        <v>56</v>
      </c>
      <c r="W5" s="10" t="s">
        <v>29</v>
      </c>
    </row>
    <row r="6" spans="1:23" x14ac:dyDescent="0.25">
      <c r="A6" s="1"/>
      <c r="B6" s="1" t="s">
        <v>52</v>
      </c>
      <c r="C6" s="10" t="s">
        <v>27</v>
      </c>
      <c r="E6" s="1"/>
      <c r="F6" s="1" t="s">
        <v>52</v>
      </c>
      <c r="G6" s="10" t="s">
        <v>27</v>
      </c>
      <c r="I6" s="1"/>
      <c r="J6" s="1" t="s">
        <v>33</v>
      </c>
      <c r="K6" s="10" t="s">
        <v>29</v>
      </c>
      <c r="M6" s="1"/>
      <c r="N6" s="1" t="s">
        <v>33</v>
      </c>
      <c r="O6" s="10" t="s">
        <v>29</v>
      </c>
      <c r="Q6" s="1"/>
      <c r="R6" s="1" t="s">
        <v>33</v>
      </c>
      <c r="S6" s="10" t="s">
        <v>29</v>
      </c>
      <c r="U6" s="1"/>
      <c r="V6" s="1" t="s">
        <v>33</v>
      </c>
      <c r="W6" s="10" t="s">
        <v>29</v>
      </c>
    </row>
    <row r="7" spans="1:23" x14ac:dyDescent="0.25">
      <c r="A7" s="1"/>
      <c r="B7" s="1" t="s">
        <v>33</v>
      </c>
      <c r="C7" s="10" t="s">
        <v>29</v>
      </c>
      <c r="E7" s="1"/>
      <c r="F7" s="1" t="s">
        <v>33</v>
      </c>
      <c r="G7" s="10" t="s">
        <v>29</v>
      </c>
      <c r="I7" s="1"/>
      <c r="J7" s="1" t="s">
        <v>31</v>
      </c>
      <c r="K7" s="10" t="s">
        <v>49</v>
      </c>
      <c r="M7" s="1"/>
      <c r="N7" s="1" t="s">
        <v>31</v>
      </c>
      <c r="O7" s="10" t="s">
        <v>49</v>
      </c>
      <c r="Q7" s="1"/>
      <c r="R7" s="1" t="s">
        <v>31</v>
      </c>
      <c r="S7" s="10" t="s">
        <v>49</v>
      </c>
      <c r="U7" s="1"/>
      <c r="V7" s="1" t="s">
        <v>31</v>
      </c>
      <c r="W7" s="10" t="s">
        <v>49</v>
      </c>
    </row>
    <row r="8" spans="1:23" x14ac:dyDescent="0.25">
      <c r="A8" s="1"/>
      <c r="B8" s="1" t="s">
        <v>31</v>
      </c>
      <c r="C8" s="10" t="s">
        <v>49</v>
      </c>
      <c r="E8" s="1"/>
      <c r="F8" s="1" t="s">
        <v>31</v>
      </c>
      <c r="G8" s="10" t="s">
        <v>49</v>
      </c>
    </row>
    <row r="11" spans="1:23" x14ac:dyDescent="0.25">
      <c r="B11" s="23" t="s">
        <v>66</v>
      </c>
      <c r="C11" s="23"/>
      <c r="D11" s="23"/>
    </row>
    <row r="12" spans="1:23" x14ac:dyDescent="0.25">
      <c r="B12" s="1"/>
      <c r="C12" s="1" t="s">
        <v>30</v>
      </c>
      <c r="D12" s="10" t="s">
        <v>19</v>
      </c>
    </row>
    <row r="13" spans="1:23" x14ac:dyDescent="0.25">
      <c r="B13" s="1" t="s">
        <v>57</v>
      </c>
      <c r="C13" s="1" t="s">
        <v>50</v>
      </c>
      <c r="D13" s="10" t="s">
        <v>29</v>
      </c>
    </row>
    <row r="14" spans="1:23" x14ac:dyDescent="0.25">
      <c r="B14" s="1"/>
      <c r="C14" s="1" t="s">
        <v>53</v>
      </c>
      <c r="D14" s="10" t="s">
        <v>29</v>
      </c>
    </row>
    <row r="15" spans="1:23" x14ac:dyDescent="0.25">
      <c r="B15" s="1"/>
      <c r="C15" s="1" t="s">
        <v>32</v>
      </c>
      <c r="D15" s="10" t="s">
        <v>28</v>
      </c>
    </row>
    <row r="16" spans="1:23" x14ac:dyDescent="0.25">
      <c r="B16" s="1"/>
      <c r="C16" s="1" t="s">
        <v>37</v>
      </c>
      <c r="D16" s="10" t="s">
        <v>29</v>
      </c>
    </row>
  </sheetData>
  <mergeCells count="7">
    <mergeCell ref="U2:W2"/>
    <mergeCell ref="A2:C2"/>
    <mergeCell ref="B11:D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F11" sqref="F11"/>
    </sheetView>
  </sheetViews>
  <sheetFormatPr baseColWidth="10" defaultRowHeight="15" x14ac:dyDescent="0.25"/>
  <sheetData>
    <row r="2" spans="1:15" x14ac:dyDescent="0.25">
      <c r="A2" s="25" t="s">
        <v>45</v>
      </c>
      <c r="B2" s="26"/>
      <c r="C2" s="27"/>
      <c r="E2" s="25" t="s">
        <v>43</v>
      </c>
      <c r="F2" s="26"/>
      <c r="G2" s="27"/>
      <c r="I2" s="25" t="s">
        <v>47</v>
      </c>
      <c r="J2" s="26"/>
      <c r="K2" s="27"/>
      <c r="M2" s="25" t="s">
        <v>67</v>
      </c>
      <c r="N2" s="26"/>
      <c r="O2" s="27"/>
    </row>
    <row r="3" spans="1:15" x14ac:dyDescent="0.25">
      <c r="A3" s="2">
        <v>1</v>
      </c>
      <c r="B3" s="3" t="s">
        <v>6</v>
      </c>
      <c r="C3" s="4"/>
      <c r="E3" s="2">
        <v>1</v>
      </c>
      <c r="F3" s="3" t="s">
        <v>6</v>
      </c>
      <c r="G3" s="4"/>
      <c r="I3" s="2">
        <v>1</v>
      </c>
      <c r="J3" s="3" t="s">
        <v>6</v>
      </c>
      <c r="K3" s="4"/>
      <c r="M3" s="2">
        <v>1</v>
      </c>
      <c r="N3" s="3" t="s">
        <v>6</v>
      </c>
      <c r="O3" s="4"/>
    </row>
    <row r="4" spans="1:15" x14ac:dyDescent="0.25">
      <c r="A4" s="2">
        <v>2</v>
      </c>
      <c r="B4" s="3" t="s">
        <v>7</v>
      </c>
      <c r="C4" s="4"/>
      <c r="E4" s="2">
        <v>2</v>
      </c>
      <c r="F4" s="3" t="s">
        <v>7</v>
      </c>
      <c r="G4" s="4"/>
      <c r="I4" s="2">
        <v>2</v>
      </c>
      <c r="J4" s="3" t="s">
        <v>7</v>
      </c>
      <c r="K4" s="4"/>
      <c r="M4" s="2">
        <v>2</v>
      </c>
      <c r="N4" s="3"/>
      <c r="O4" s="4"/>
    </row>
    <row r="5" spans="1:15" x14ac:dyDescent="0.25">
      <c r="A5" s="2">
        <v>3</v>
      </c>
      <c r="B5" s="3" t="s">
        <v>20</v>
      </c>
      <c r="C5" s="4"/>
      <c r="E5" s="2">
        <v>3</v>
      </c>
      <c r="F5" s="3" t="s">
        <v>20</v>
      </c>
      <c r="G5" s="4"/>
      <c r="I5" s="2">
        <v>3</v>
      </c>
      <c r="J5" s="3" t="s">
        <v>20</v>
      </c>
      <c r="K5" s="4"/>
      <c r="M5" s="2">
        <v>3</v>
      </c>
      <c r="N5" s="3"/>
      <c r="O5" s="4"/>
    </row>
    <row r="6" spans="1:15" x14ac:dyDescent="0.25">
      <c r="A6" s="2">
        <v>4</v>
      </c>
      <c r="B6" s="3"/>
      <c r="C6" s="4"/>
      <c r="E6" s="2">
        <v>4</v>
      </c>
      <c r="F6" s="3" t="s">
        <v>8</v>
      </c>
      <c r="G6" s="4"/>
      <c r="I6" s="2">
        <v>4</v>
      </c>
      <c r="J6" s="3" t="s">
        <v>8</v>
      </c>
      <c r="K6" s="4"/>
      <c r="M6" s="2">
        <v>4</v>
      </c>
      <c r="N6" s="3"/>
      <c r="O6" s="4"/>
    </row>
    <row r="7" spans="1:15" x14ac:dyDescent="0.25">
      <c r="A7" s="2">
        <v>5</v>
      </c>
      <c r="B7" s="3"/>
      <c r="C7" s="4"/>
      <c r="E7" s="2">
        <v>5</v>
      </c>
      <c r="F7" s="17" t="s">
        <v>106</v>
      </c>
      <c r="G7" s="4"/>
      <c r="I7" s="2">
        <v>5</v>
      </c>
      <c r="J7" s="17" t="s">
        <v>106</v>
      </c>
      <c r="K7" s="4"/>
      <c r="M7" s="2">
        <v>5</v>
      </c>
      <c r="N7" s="3"/>
      <c r="O7" s="4"/>
    </row>
    <row r="8" spans="1:15" x14ac:dyDescent="0.25">
      <c r="A8" s="2">
        <v>6</v>
      </c>
      <c r="B8" s="3" t="s">
        <v>9</v>
      </c>
      <c r="C8" s="4"/>
      <c r="E8" s="2">
        <v>6</v>
      </c>
      <c r="F8" s="3" t="s">
        <v>9</v>
      </c>
      <c r="G8" s="4"/>
      <c r="I8" s="2">
        <v>6</v>
      </c>
      <c r="J8" s="3" t="s">
        <v>9</v>
      </c>
      <c r="K8" s="4"/>
      <c r="M8" s="2">
        <v>6</v>
      </c>
      <c r="N8" s="3" t="s">
        <v>9</v>
      </c>
      <c r="O8" s="4"/>
    </row>
    <row r="9" spans="1:15" x14ac:dyDescent="0.25">
      <c r="A9" s="2">
        <v>7</v>
      </c>
      <c r="B9" s="3" t="s">
        <v>21</v>
      </c>
      <c r="C9" s="4"/>
      <c r="E9" s="5">
        <v>7</v>
      </c>
      <c r="F9" s="6"/>
      <c r="G9" s="7"/>
      <c r="I9" s="5">
        <v>7</v>
      </c>
      <c r="J9" s="6"/>
      <c r="K9" s="7"/>
      <c r="M9" s="5">
        <v>7</v>
      </c>
      <c r="N9" s="6"/>
      <c r="O9" s="7"/>
    </row>
    <row r="10" spans="1:15" x14ac:dyDescent="0.25">
      <c r="A10" s="14">
        <v>8</v>
      </c>
      <c r="B10" s="15" t="s">
        <v>46</v>
      </c>
      <c r="C10" s="7"/>
    </row>
    <row r="11" spans="1:15" x14ac:dyDescent="0.25">
      <c r="A11" s="3"/>
      <c r="B11" s="3"/>
      <c r="C11" s="3"/>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Emmanuel Castillo</cp:lastModifiedBy>
  <cp:lastPrinted>2019-10-26T17:31:19Z</cp:lastPrinted>
  <dcterms:created xsi:type="dcterms:W3CDTF">2017-11-22T17:08:28Z</dcterms:created>
  <dcterms:modified xsi:type="dcterms:W3CDTF">2019-11-25T19:14:47Z</dcterms:modified>
</cp:coreProperties>
</file>