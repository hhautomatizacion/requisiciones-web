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bookViews>
  <sheets>
    <sheet name="Crear" sheetId="2" r:id="rId1"/>
    <sheet name="Hoja1" sheetId="1" r:id="rId2"/>
    <sheet name="Hoja4" sheetId="4" r:id="rId3"/>
    <sheet name="Hoja3" sheetId="3" r:id="rId4"/>
  </sheets>
  <calcPr calcId="144525"/>
</workbook>
</file>

<file path=xl/calcChain.xml><?xml version="1.0" encoding="utf-8"?>
<calcChain xmlns="http://schemas.openxmlformats.org/spreadsheetml/2006/main">
  <c r="F62" i="2" l="1"/>
  <c r="F61" i="2"/>
  <c r="F60" i="2"/>
  <c r="F59" i="2" l="1"/>
  <c r="F58" i="2"/>
  <c r="F57" i="2" l="1"/>
  <c r="F56" i="2" l="1"/>
  <c r="F55" i="2"/>
  <c r="F54" i="2" l="1"/>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<sst xmlns="http://schemas.openxmlformats.org/spreadsheetml/2006/main" count="513" uniqueCount="221">
  <si>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</si>
  <si>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</si>
  <si>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</si>
  <si>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</si>
  <si>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</si>
  <si>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</si>
  <si>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</si>
  <si>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</si>
  <si>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</si>
  <si>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</si>
  <si>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</si>
  <si>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</si>
  <si>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</si>
  <si>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</si>
  <si>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</si>
  <si>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</si>
  <si>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</si>
  <si>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</si>
  <si>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</si>
  <si>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</si>
  <si>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</si>
  <si>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</si>
  <si>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</si>
  <si>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</si>
  <si>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</si>
  <si>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</si>
  <si>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</si>
  <si>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</si>
  <si>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</si>
  <si>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</si>
  <si>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</si>
  <si>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</si>
  <si>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</si>
  <si>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</si>
  <si>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</si>
  <si>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</si>
  <si>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</si>
  <si>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</si>
  <si>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</si>
  <si>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</si>
  <si>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</si>
  <si>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</si>
  <si>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</si>
  <si>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</si>
  <si>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</si>
  <si>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</si>
  <si>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</si>
  <si>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</si>
  <si>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</si>
  <si>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</si>
  <si>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</si>
  <si>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</si>
  <si>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</si>
  <si>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</si>
  <si>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</si>
  <si>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</si>
  <si>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</si>
  <si>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</si>
  <si>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</si>
  <si>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</si>
  <si>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</si>
  <si>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</si>
  <si>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</si>
  <si>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</si>
  <si>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</si>
  <si>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</si>
  <si>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</si>
  <si>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</si>
  <si>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</si>
  <si>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</si>
  <si>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</si>
  <si>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</si>
  <si>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</si>
  <si>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</si>
  <si>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</si>
  <si>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</si>
  <si>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</si>
  <si>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</si>
  <si>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</si>
  <si>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</si>
  <si>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</si>
  <si>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</si>
  <si>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</si>
  <si>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</si>
  <si>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</si>
  <si>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</si>
  <si>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</si>
  <si>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</si>
  <si>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</si>
  <si>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</si>
  <si>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</si>
  <si>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</si>
  <si>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</si>
  <si>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</si>
  <si>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</si>
  <si>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</si>
  <si>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</si>
  <si>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</si>
  <si>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</si>
  <si>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</si>
  <si>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</si>
  <si>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</si>
  <si>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</si>
  <si>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</si>
  <si>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</si>
  <si>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</si>
  <si>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</si>
  <si>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</si>
  <si>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</si>
  <si>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</si>
  <si>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</si>
  <si>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</si>
  <si>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</si>
  <si>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</si>
  <si>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</si>
  <si>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</si>
  <si>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</si>
  <si>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</si>
  <si>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</si>
  <si>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</si>
  <si>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</si>
  <si>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</si>
  <si>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</si>
  <si>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</si>
  <si>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</si>
  <si>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</si>
  <si>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</si>
  <si>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</si>
  <si>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</si>
  <si>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</si>
  <si>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</si>
  <si>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</si>
  <si>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</si>
  <si>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</si>
  <si>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</si>
  <si>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</si>
  <si>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</si>
  <si>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</si>
  <si>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</si>
  <si>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</si>
  <si>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</si>
  <si>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</si>
  <si>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</si>
  <si>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</si>
  <si>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</si>
  <si>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</si>
  <si>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</si>
  <si>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</si>
  <si>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</si>
  <si>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</si>
  <si>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</si>
  <si>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</si>
  <si>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</si>
  <si>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</si>
  <si>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</si>
  <si>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</si>
  <si>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</si>
  <si>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</si>
  <si>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</si>
  <si>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</si>
  <si>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</si>
  <si>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</si>
  <si>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</si>
  <si>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</si>
  <si>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</si>
  <si>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</si>
  <si>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</si>
  <si>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</si>
  <si>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</si>
  <si>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</si>
  <si>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</si>
  <si>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</si>
  <si>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</si>
  <si>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</si>
  <si>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</si>
  <si>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</si>
  <si>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</si>
  <si>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</si>
  <si>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</si>
  <si>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</si>
  <si>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</si>
  <si>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</si>
  <si>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</si>
  <si>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</si>
  <si>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</si>
  <si>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</si>
  <si>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</si>
  <si>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</si>
  <si>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</si>
  <si>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</si>
  <si>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</si>
  <si>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</si>
  <si>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</si>
  <si>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</si>
  <si>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</si>
  <si>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</si>
  <si>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</si>
  <si>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</si>
  <si>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</si>
  <si>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</si>
  <si>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</si>
  <si>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</si>
  <si>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</si>
  <si>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</si>
  <si>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</si>
  <si>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pedido</t>
  </si>
  <si>
    <t>fecha creacion</t>
  </si>
  <si>
    <t>fecha impresión</t>
  </si>
  <si>
    <t>fecha surtir</t>
  </si>
  <si>
    <t>estado</t>
  </si>
  <si>
    <t>imprime</t>
  </si>
  <si>
    <t>solicita</t>
  </si>
  <si>
    <t>autor</t>
  </si>
  <si>
    <t>Jaime Cortes</t>
  </si>
  <si>
    <t>Alejandro Luna</t>
  </si>
  <si>
    <t>cr</t>
  </si>
  <si>
    <t>fecha surtida</t>
  </si>
  <si>
    <t>modifica</t>
  </si>
  <si>
    <t>Gerardo Ginez</t>
  </si>
  <si>
    <t>Raul Morales</t>
  </si>
  <si>
    <t>Ramon Horta</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</si>
</sst>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9"/>
      <color indexed="81"/>
      <name val="Tahoma"/>
      <charset val="1"/>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32">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10" xfId="0" applyBorder="1"/>
    <xf numFmtId="0" fontId="0" fillId="0" borderId="11" xfId="0" applyBorder="1"/>
    <xf numFmtId="0" fontId="0" fillId="0" borderId="12" xfId="0" applyBorder="1"/>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62"/>
  <sheetViews>
    <sheetView tabSelected="1" topLeftCell="A25" workbookViewId="0">
      <selection activeCell="F36" sqref="F36:F39"/>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19" x14ac:dyDescent="0.25">
      <c r="A33" t="s">
        <v>130</v>
      </c>
    </row>
    <row r="34" spans="1:19" x14ac:dyDescent="0.25">
      <c r="A34" t="s">
        <v>131</v>
      </c>
    </row>
    <row r="36" spans="1:19" x14ac:dyDescent="0.25">
      <c r="A36" s="18">
        <v>18013</v>
      </c>
      <c r="B36" s="18">
        <v>23</v>
      </c>
      <c r="C36" t="s">
        <v>180</v>
      </c>
      <c r="D36" t="s">
        <v>121</v>
      </c>
      <c r="F36" t="str">
        <f>"UPDATE "&amp; C36 &amp;" SET "&amp; D36 &amp;"="&amp; B36 &amp;" WHERE "&amp; D36 &amp;"="&amp;A36 &amp;";"</f>
        <v>UPDATE partidas SET idsolicitante=23 WHERE idsolicitante=18013;</v>
      </c>
    </row>
    <row r="37" spans="1:19" x14ac:dyDescent="0.25">
      <c r="A37">
        <f t="shared" ref="A37:B39" si="0">A36</f>
        <v>18013</v>
      </c>
      <c r="B37">
        <f t="shared" si="0"/>
        <v>23</v>
      </c>
      <c r="C37" t="s">
        <v>181</v>
      </c>
      <c r="D37" t="s">
        <v>121</v>
      </c>
      <c r="F37" t="str">
        <f t="shared" ref="F37:F39" si="1">"UPDATE "&amp; C37 &amp;" SET "&amp; D37 &amp;"="&amp; B37 &amp;" WHERE "&amp; D37 &amp;"="&amp;A37 &amp;";"</f>
        <v>UPDATE requisiciones SET idsolicitante=23 WHERE idsolicitante=18013;</v>
      </c>
    </row>
    <row r="38" spans="1:19" x14ac:dyDescent="0.25">
      <c r="A38">
        <f t="shared" si="0"/>
        <v>18013</v>
      </c>
      <c r="B38">
        <f t="shared" si="0"/>
        <v>23</v>
      </c>
      <c r="C38" t="s">
        <v>182</v>
      </c>
      <c r="D38" t="s">
        <v>55</v>
      </c>
      <c r="F38" t="str">
        <f t="shared" si="1"/>
        <v>UPDATE comentariospartidas SET idusuario=23 WHERE idusuario=18013;</v>
      </c>
      <c r="P38" s="2" t="s">
        <v>52</v>
      </c>
      <c r="Q38" s="2" t="s">
        <v>204</v>
      </c>
      <c r="R38" s="2" t="s">
        <v>205</v>
      </c>
      <c r="S38" s="2" t="s">
        <v>122</v>
      </c>
    </row>
    <row r="39" spans="1:19" x14ac:dyDescent="0.25">
      <c r="A39">
        <f t="shared" si="0"/>
        <v>18013</v>
      </c>
      <c r="B39">
        <f t="shared" si="0"/>
        <v>23</v>
      </c>
      <c r="C39" t="s">
        <v>183</v>
      </c>
      <c r="D39" t="s">
        <v>55</v>
      </c>
      <c r="F39" t="str">
        <f t="shared" si="1"/>
        <v>UPDATE comentariosrequisiciones SET idusuario=23 WHERE idusuario=18013;</v>
      </c>
      <c r="P39" s="2" t="s">
        <v>206</v>
      </c>
      <c r="Q39" s="2" t="s">
        <v>207</v>
      </c>
      <c r="R39" s="2" t="s">
        <v>216</v>
      </c>
      <c r="S39" s="2" t="s">
        <v>208</v>
      </c>
    </row>
    <row r="40" spans="1:19" x14ac:dyDescent="0.25">
      <c r="P40" s="2" t="s">
        <v>31</v>
      </c>
      <c r="Q40" s="2" t="s">
        <v>32</v>
      </c>
      <c r="R40" s="2" t="s">
        <v>215</v>
      </c>
      <c r="S40" s="2" t="s">
        <v>209</v>
      </c>
    </row>
    <row r="41" spans="1:19" x14ac:dyDescent="0.25">
      <c r="P41" s="19"/>
      <c r="Q41" s="20"/>
      <c r="R41" s="20"/>
      <c r="S41" s="21"/>
    </row>
    <row r="42" spans="1:19" x14ac:dyDescent="0.25">
      <c r="A42" s="18">
        <v>18885</v>
      </c>
      <c r="B42" s="18" t="s">
        <v>188</v>
      </c>
      <c r="F42" t="str">
        <f t="shared" ref="F42:F52" si="2">"INSERT INTO usuarios VALUES (0,"&amp; A42 &amp;",'"&amp; B42 &amp;"','"&amp; LEFT(SUBSTITUTE(B42," ",""),FIND(" ",B42)) &amp;"','',SHA1('"&amp; A42 &amp;"'),'',0,0,1);"</f>
        <v>INSERT INTO usuarios VALUES (0,18885,'Mario Elias','MarioE','',SHA1('18885'),'',0,0,1);</v>
      </c>
      <c r="P42" s="3"/>
      <c r="Q42" s="4"/>
      <c r="R42" s="4"/>
      <c r="S42" s="5"/>
    </row>
    <row r="43" spans="1:19" x14ac:dyDescent="0.25">
      <c r="A43" s="18">
        <v>11524</v>
      </c>
      <c r="B43" s="18" t="s">
        <v>189</v>
      </c>
      <c r="F43" t="str">
        <f t="shared" si="2"/>
        <v>INSERT INTO usuarios VALUES (0,11524,'Mauro Cruz','MauroC','',SHA1('11524'),'',0,0,1);</v>
      </c>
      <c r="P43" s="3"/>
      <c r="Q43" s="4"/>
      <c r="R43" s="4"/>
      <c r="S43" s="5"/>
    </row>
    <row r="44" spans="1:19" x14ac:dyDescent="0.25">
      <c r="A44" s="18">
        <v>15576</v>
      </c>
      <c r="B44" s="18" t="s">
        <v>190</v>
      </c>
      <c r="F44" t="str">
        <f t="shared" si="2"/>
        <v>INSERT INTO usuarios VALUES (0,15576,'Oswaldo Flores','OswaldoF','',SHA1('15576'),'',0,0,1);</v>
      </c>
      <c r="P44" s="3"/>
      <c r="Q44" s="4"/>
      <c r="R44" s="4"/>
      <c r="S44" s="5"/>
    </row>
    <row r="45" spans="1:19" x14ac:dyDescent="0.25">
      <c r="A45" s="18">
        <v>11687</v>
      </c>
      <c r="B45" s="18" t="s">
        <v>191</v>
      </c>
      <c r="F45" t="str">
        <f t="shared" si="2"/>
        <v>INSERT INTO usuarios VALUES (0,11687,'Genaro Hernandez','GenaroH','',SHA1('11687'),'',0,0,1);</v>
      </c>
      <c r="P45" s="6"/>
      <c r="Q45" s="7"/>
      <c r="R45" s="7"/>
      <c r="S45" s="8"/>
    </row>
    <row r="46" spans="1:19" x14ac:dyDescent="0.25">
      <c r="A46" s="18">
        <v>24648</v>
      </c>
      <c r="B46" s="18" t="s">
        <v>192</v>
      </c>
      <c r="F46" t="str">
        <f t="shared" si="2"/>
        <v>INSERT INTO usuarios VALUES (0,24648,'Pedro Herrera','PedroH','',SHA1('24648'),'',0,0,1);</v>
      </c>
      <c r="P46" s="2" t="s">
        <v>217</v>
      </c>
      <c r="Q46" s="2" t="s">
        <v>210</v>
      </c>
      <c r="R46" s="2" t="s">
        <v>211</v>
      </c>
      <c r="S46" s="2" t="s">
        <v>212</v>
      </c>
    </row>
    <row r="47" spans="1:19" x14ac:dyDescent="0.25">
      <c r="A47" s="18">
        <v>26192</v>
      </c>
      <c r="B47" s="18" t="s">
        <v>193</v>
      </c>
      <c r="F47" t="str">
        <f t="shared" si="2"/>
        <v>INSERT INTO usuarios VALUES (0,26192,'Rafael Marquez','RafaelM','',SHA1('26192'),'',0,0,1);</v>
      </c>
    </row>
    <row r="48" spans="1:19"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 t="shared" ref="F53:F62" si="3">"INSERT INTO usuarios VALUES (0,"&amp; A53 &amp;",'"&amp; B53 &amp;"','"&amp; LEFT(SUBSTITUTE(B53," ",""),FIND(" ",B53)) &amp;"','',SHA1('"&amp; A53 &amp;"'),'',0,0,1);"</f>
        <v>INSERT INTO usuarios VALUES (0,24124,'Alejandro Santana','AlejandroS','',SHA1('24124'),'',0,0,1);</v>
      </c>
    </row>
    <row r="54" spans="1:6" x14ac:dyDescent="0.25">
      <c r="A54" s="18">
        <v>22625</v>
      </c>
      <c r="B54" s="18" t="s">
        <v>200</v>
      </c>
      <c r="F54" t="str">
        <f t="shared" si="3"/>
        <v>INSERT INTO usuarios VALUES (0,22625,'Alfredo Cid','AlfredoC','',SHA1('22625'),'',0,0,1);</v>
      </c>
    </row>
    <row r="55" spans="1:6" x14ac:dyDescent="0.25">
      <c r="A55" s="18">
        <v>50020</v>
      </c>
      <c r="B55" s="18" t="s">
        <v>201</v>
      </c>
      <c r="F55" t="str">
        <f t="shared" si="3"/>
        <v>INSERT INTO usuarios VALUES (0,50020,'Manuel Estrada','ManuelE','',SHA1('50020'),'',0,0,1);</v>
      </c>
    </row>
    <row r="56" spans="1:6" x14ac:dyDescent="0.25">
      <c r="A56" s="18">
        <v>24473</v>
      </c>
      <c r="B56" s="18" t="s">
        <v>202</v>
      </c>
      <c r="F56" t="str">
        <f t="shared" si="3"/>
        <v>INSERT INTO usuarios VALUES (0,24473,'Jose Montes','JoseM','',SHA1('24473'),'',0,0,1);</v>
      </c>
    </row>
    <row r="57" spans="1:6" x14ac:dyDescent="0.25">
      <c r="A57" s="18">
        <v>25660</v>
      </c>
      <c r="B57" s="18" t="s">
        <v>203</v>
      </c>
      <c r="F57" t="str">
        <f t="shared" si="3"/>
        <v>INSERT INTO usuarios VALUES (0,25660,'Arturo Carrera','ArturoC','',SHA1('25660'),'',0,0,1);</v>
      </c>
    </row>
    <row r="58" spans="1:6" x14ac:dyDescent="0.25">
      <c r="A58" s="18">
        <v>28958</v>
      </c>
      <c r="B58" s="18" t="s">
        <v>213</v>
      </c>
      <c r="F58" t="str">
        <f t="shared" si="3"/>
        <v>INSERT INTO usuarios VALUES (0,28958,'Jaime Cortes','JaimeC','',SHA1('28958'),'',0,0,1);</v>
      </c>
    </row>
    <row r="59" spans="1:6" x14ac:dyDescent="0.25">
      <c r="A59" s="18">
        <v>25577</v>
      </c>
      <c r="B59" s="18" t="s">
        <v>214</v>
      </c>
      <c r="F59" t="str">
        <f t="shared" si="3"/>
        <v>INSERT INTO usuarios VALUES (0,25577,'Alejandro Luna','AlejandroL','',SHA1('25577'),'',0,0,1);</v>
      </c>
    </row>
    <row r="60" spans="1:6" x14ac:dyDescent="0.25">
      <c r="A60" s="18">
        <v>30693</v>
      </c>
      <c r="B60" s="18" t="s">
        <v>218</v>
      </c>
      <c r="F60" t="str">
        <f t="shared" si="3"/>
        <v>INSERT INTO usuarios VALUES (0,30693,'Gerardo Ginez','GerardoG','',SHA1('30693'),'',0,0,1);</v>
      </c>
    </row>
    <row r="61" spans="1:6" x14ac:dyDescent="0.25">
      <c r="A61" s="18">
        <v>29793</v>
      </c>
      <c r="B61" s="18" t="s">
        <v>219</v>
      </c>
      <c r="F61" t="str">
        <f t="shared" si="3"/>
        <v>INSERT INTO usuarios VALUES (0,29793,'Raul Morales','RaulM','',SHA1('29793'),'',0,0,1);</v>
      </c>
    </row>
    <row r="62" spans="1:6" x14ac:dyDescent="0.25">
      <c r="A62" s="18">
        <v>18013</v>
      </c>
      <c r="B62" s="18" t="s">
        <v>220</v>
      </c>
      <c r="F62" t="str">
        <f t="shared" si="3"/>
        <v>INSERT INTO usuarios VALUES (0,18013,'Ramon Horta','RamonH','',SHA1('18013'),'',0,0,1);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N25" sqref="N25"/>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27" t="s">
        <v>0</v>
      </c>
      <c r="B3" s="27"/>
      <c r="C3" s="27"/>
      <c r="E3" s="27" t="s">
        <v>1</v>
      </c>
      <c r="F3" s="27"/>
      <c r="G3" s="27"/>
      <c r="H3" s="1"/>
      <c r="I3" s="27" t="s">
        <v>10</v>
      </c>
      <c r="J3" s="27"/>
      <c r="K3" s="27"/>
      <c r="M3" s="22" t="s">
        <v>30</v>
      </c>
      <c r="N3" s="23"/>
      <c r="O3" s="24"/>
      <c r="Q3" s="25" t="s">
        <v>25</v>
      </c>
      <c r="R3" s="25"/>
      <c r="S3" s="25"/>
      <c r="U3" s="22" t="s">
        <v>27</v>
      </c>
      <c r="V3" s="23"/>
      <c r="W3" s="24"/>
      <c r="Y3" s="22" t="s">
        <v>28</v>
      </c>
      <c r="Z3" s="23"/>
      <c r="AA3" s="24"/>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25" t="s">
        <v>40</v>
      </c>
      <c r="F20" s="25"/>
      <c r="G20" s="25"/>
      <c r="I20" s="25" t="s">
        <v>41</v>
      </c>
      <c r="J20" s="25"/>
      <c r="K20" s="25"/>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26" t="s">
        <v>24</v>
      </c>
      <c r="B29" s="26"/>
      <c r="C29" s="26"/>
      <c r="E29" s="25" t="s">
        <v>21</v>
      </c>
      <c r="F29" s="25"/>
      <c r="G29" s="25"/>
      <c r="I29" s="25" t="s">
        <v>23</v>
      </c>
      <c r="J29" s="25"/>
      <c r="K29" s="25"/>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26" t="s">
        <v>15</v>
      </c>
      <c r="B38" s="26"/>
      <c r="C38" s="26"/>
      <c r="E38" s="26" t="s">
        <v>8</v>
      </c>
      <c r="F38" s="26"/>
      <c r="G38" s="26"/>
      <c r="I38" s="26" t="s">
        <v>13</v>
      </c>
      <c r="J38" s="26"/>
      <c r="K38" s="26"/>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28" t="s">
        <v>60</v>
      </c>
      <c r="B45" s="28"/>
      <c r="C45" s="28"/>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25" t="s">
        <v>70</v>
      </c>
      <c r="B52" s="25"/>
      <c r="C52" s="25"/>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A52:C52"/>
    <mergeCell ref="I20:K20"/>
    <mergeCell ref="A45:C45"/>
    <mergeCell ref="E38:G38"/>
    <mergeCell ref="A38:C38"/>
    <mergeCell ref="I38:K38"/>
    <mergeCell ref="Y3:AA3"/>
    <mergeCell ref="U3:W3"/>
    <mergeCell ref="E29:G29"/>
    <mergeCell ref="I29:K29"/>
    <mergeCell ref="A29:C29"/>
    <mergeCell ref="Q3:S3"/>
    <mergeCell ref="A3:C3"/>
    <mergeCell ref="E3:G3"/>
    <mergeCell ref="I3:K3"/>
    <mergeCell ref="M3:O3"/>
    <mergeCell ref="E20:G20"/>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G24" sqref="G24"/>
    </sheetView>
  </sheetViews>
  <sheetFormatPr baseColWidth="10" defaultRowHeight="15" x14ac:dyDescent="0.25"/>
  <sheetData>
    <row r="2" spans="1:23" x14ac:dyDescent="0.25">
      <c r="A2" s="25" t="s">
        <v>89</v>
      </c>
      <c r="B2" s="25"/>
      <c r="C2" s="25"/>
      <c r="E2" s="25" t="s">
        <v>90</v>
      </c>
      <c r="F2" s="25"/>
      <c r="G2" s="25"/>
      <c r="I2" s="25" t="s">
        <v>91</v>
      </c>
      <c r="J2" s="25"/>
      <c r="K2" s="25"/>
      <c r="M2" s="25" t="s">
        <v>92</v>
      </c>
      <c r="N2" s="25"/>
      <c r="O2" s="25"/>
      <c r="Q2" s="25" t="s">
        <v>93</v>
      </c>
      <c r="R2" s="25"/>
      <c r="S2" s="25"/>
      <c r="U2" s="25" t="s">
        <v>94</v>
      </c>
      <c r="V2" s="25"/>
      <c r="W2" s="25"/>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26" t="s">
        <v>97</v>
      </c>
      <c r="B11" s="26"/>
      <c r="C11" s="26"/>
    </row>
    <row r="12" spans="1:23" x14ac:dyDescent="0.25">
      <c r="A12" s="2" t="s">
        <v>98</v>
      </c>
      <c r="B12" s="2" t="s">
        <v>52</v>
      </c>
      <c r="C12" s="11" t="s">
        <v>33</v>
      </c>
    </row>
    <row r="13" spans="1:23" x14ac:dyDescent="0.25">
      <c r="A13" s="2" t="s">
        <v>86</v>
      </c>
      <c r="B13" s="2" t="s">
        <v>79</v>
      </c>
      <c r="C13" s="11" t="s">
        <v>48</v>
      </c>
    </row>
    <row r="14" spans="1:23" x14ac:dyDescent="0.25">
      <c r="A14" s="2"/>
      <c r="B14" s="2" t="s">
        <v>82</v>
      </c>
      <c r="C14" s="11" t="s">
        <v>48</v>
      </c>
    </row>
    <row r="15" spans="1:23" x14ac:dyDescent="0.25">
      <c r="A15" s="2"/>
      <c r="B15" s="2" t="s">
        <v>54</v>
      </c>
      <c r="C15" s="11" t="s">
        <v>47</v>
      </c>
    </row>
    <row r="16" spans="1:23" x14ac:dyDescent="0.25">
      <c r="A16" s="2"/>
      <c r="B16" s="2" t="s">
        <v>61</v>
      </c>
      <c r="C16" s="11" t="s">
        <v>48</v>
      </c>
    </row>
  </sheetData>
  <mergeCells count="7">
    <mergeCell ref="U2:W2"/>
    <mergeCell ref="A2:C2"/>
    <mergeCell ref="A11:C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0"/>
  <sheetViews>
    <sheetView workbookViewId="0">
      <selection activeCell="M13" sqref="M13"/>
    </sheetView>
  </sheetViews>
  <sheetFormatPr baseColWidth="10" defaultRowHeight="15" x14ac:dyDescent="0.25"/>
  <sheetData>
    <row r="2" spans="1:15" x14ac:dyDescent="0.25">
      <c r="A2" s="29" t="s">
        <v>73</v>
      </c>
      <c r="B2" s="30"/>
      <c r="C2" s="31"/>
      <c r="E2" s="29" t="s">
        <v>69</v>
      </c>
      <c r="F2" s="30"/>
      <c r="G2" s="31"/>
      <c r="I2" s="29" t="s">
        <v>75</v>
      </c>
      <c r="J2" s="30"/>
      <c r="K2" s="31"/>
      <c r="M2" s="29" t="s">
        <v>101</v>
      </c>
      <c r="N2" s="30"/>
      <c r="O2" s="31"/>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t="s">
        <v>20</v>
      </c>
      <c r="C7" s="5"/>
      <c r="E7" s="3">
        <v>5</v>
      </c>
      <c r="F7" s="4" t="s">
        <v>20</v>
      </c>
      <c r="G7" s="5"/>
      <c r="I7" s="3">
        <v>5</v>
      </c>
      <c r="J7" s="4" t="s">
        <v>20</v>
      </c>
      <c r="K7" s="5"/>
      <c r="M7" s="3">
        <v>5</v>
      </c>
      <c r="N7" s="4" t="s">
        <v>20</v>
      </c>
      <c r="O7" s="5"/>
    </row>
    <row r="8" spans="1:15" x14ac:dyDescent="0.25">
      <c r="A8" s="3">
        <v>6</v>
      </c>
      <c r="B8" s="4" t="s">
        <v>35</v>
      </c>
      <c r="C8" s="5"/>
      <c r="E8" s="6">
        <v>6</v>
      </c>
      <c r="F8" s="7"/>
      <c r="G8" s="8"/>
      <c r="I8" s="6">
        <v>6</v>
      </c>
      <c r="J8" s="7"/>
      <c r="K8" s="8"/>
      <c r="M8" s="6">
        <v>6</v>
      </c>
      <c r="N8" s="7"/>
      <c r="O8" s="8"/>
    </row>
    <row r="9" spans="1:15" x14ac:dyDescent="0.25">
      <c r="A9" s="15">
        <v>7</v>
      </c>
      <c r="B9" s="16" t="s">
        <v>74</v>
      </c>
      <c r="C9" s="8"/>
    </row>
    <row r="10" spans="1:15" x14ac:dyDescent="0.25">
      <c r="A10" s="4"/>
      <c r="B10" s="4"/>
      <c r="C10" s="4"/>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2018-02-07T23:01:35Z</dcterms:modified>
</cp:coreProperties>
</file>